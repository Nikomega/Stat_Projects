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/Downloads/"/>
    </mc:Choice>
  </mc:AlternateContent>
  <xr:revisionPtr revIDLastSave="0" documentId="8_{296FF0B6-D35C-2A42-8A21-2E568D259830}" xr6:coauthVersionLast="47" xr6:coauthVersionMax="47" xr10:uidLastSave="{00000000-0000-0000-0000-000000000000}"/>
  <bookViews>
    <workbookView xWindow="0" yWindow="660" windowWidth="29920" windowHeight="18680" activeTab="3" xr2:uid="{8B2F6B69-E413-CD4C-9F2C-36026E7F7255}"/>
  </bookViews>
  <sheets>
    <sheet name="Apple" sheetId="2" r:id="rId1"/>
    <sheet name="PC Shipments" sheetId="3" r:id="rId2"/>
    <sheet name="Utah Population" sheetId="4" r:id="rId3"/>
    <sheet name="Education" sheetId="5" r:id="rId4"/>
  </sheets>
  <definedNames>
    <definedName name="_xlchart.v1.10" hidden="1">'Utah Population'!$B$3</definedName>
    <definedName name="_xlchart.v1.11" hidden="1">'Utah Population'!$B$4</definedName>
    <definedName name="_xlchart.v1.12" hidden="1">'Utah Population'!$B$5</definedName>
    <definedName name="_xlchart.v1.13" hidden="1">'Utah Population'!$B$6</definedName>
    <definedName name="_xlchart.v1.14" hidden="1">'Utah Population'!$B$7</definedName>
    <definedName name="_xlchart.v1.15" hidden="1">'Utah Population'!$C$3:$L$3</definedName>
    <definedName name="_xlchart.v1.16" hidden="1">'Utah Population'!$C$4:$L$4</definedName>
    <definedName name="_xlchart.v1.17" hidden="1">'Utah Population'!$C$5:$L$5</definedName>
    <definedName name="_xlchart.v1.18" hidden="1">'Utah Population'!$C$6:$L$6</definedName>
    <definedName name="_xlchart.v1.19" hidden="1">'Utah Population'!$C$7:$L$7</definedName>
    <definedName name="_xlchart.v2.0" hidden="1">'Utah Population'!$B$3</definedName>
    <definedName name="_xlchart.v2.1" hidden="1">'Utah Population'!$B$4</definedName>
    <definedName name="_xlchart.v2.2" hidden="1">'Utah Population'!$B$5</definedName>
    <definedName name="_xlchart.v2.3" hidden="1">'Utah Population'!$B$6</definedName>
    <definedName name="_xlchart.v2.4" hidden="1">'Utah Population'!$B$7</definedName>
    <definedName name="_xlchart.v2.5" hidden="1">'Utah Population'!$C$3:$L$3</definedName>
    <definedName name="_xlchart.v2.6" hidden="1">'Utah Population'!$C$4:$L$4</definedName>
    <definedName name="_xlchart.v2.7" hidden="1">'Utah Population'!$C$5:$L$5</definedName>
    <definedName name="_xlchart.v2.8" hidden="1">'Utah Population'!$C$6:$L$6</definedName>
    <definedName name="_xlchart.v2.9" hidden="1">'Utah Population'!$C$7:$L$7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G4" i="4"/>
  <c r="H4" i="4"/>
  <c r="I4" i="4"/>
  <c r="J4" i="4"/>
  <c r="K4" i="4"/>
  <c r="L4" i="4"/>
  <c r="C5" i="4"/>
  <c r="D5" i="4"/>
  <c r="E5" i="4"/>
  <c r="F5" i="4"/>
  <c r="G5" i="4"/>
  <c r="H5" i="4"/>
  <c r="I5" i="4"/>
  <c r="J5" i="4"/>
  <c r="K5" i="4"/>
  <c r="L5" i="4"/>
  <c r="C6" i="4"/>
  <c r="D6" i="4"/>
  <c r="E6" i="4"/>
  <c r="F6" i="4"/>
  <c r="G6" i="4"/>
  <c r="H6" i="4"/>
  <c r="I6" i="4"/>
  <c r="J6" i="4"/>
  <c r="K6" i="4"/>
  <c r="L6" i="4"/>
  <c r="C7" i="4"/>
  <c r="D7" i="4"/>
  <c r="E7" i="4"/>
  <c r="F7" i="4"/>
  <c r="G7" i="4"/>
  <c r="H7" i="4"/>
  <c r="I7" i="4"/>
  <c r="J7" i="4"/>
  <c r="K7" i="4"/>
  <c r="L7" i="4"/>
</calcChain>
</file>

<file path=xl/sharedStrings.xml><?xml version="1.0" encoding="utf-8"?>
<sst xmlns="http://schemas.openxmlformats.org/spreadsheetml/2006/main" count="75" uniqueCount="71">
  <si>
    <t>Revenues in billions of dollars</t>
  </si>
  <si>
    <t>Quarter</t>
  </si>
  <si>
    <t>2014</t>
  </si>
  <si>
    <t>2015</t>
  </si>
  <si>
    <t>2016</t>
  </si>
  <si>
    <t>2017</t>
  </si>
  <si>
    <t>2018</t>
  </si>
  <si>
    <t>Q1</t>
  </si>
  <si>
    <t>Q2</t>
  </si>
  <si>
    <t>Q3</t>
  </si>
  <si>
    <t>Q4</t>
  </si>
  <si>
    <t>Total</t>
  </si>
  <si>
    <t>Place the "Apple Revenue" Chart Here for Grading</t>
  </si>
  <si>
    <t>Company</t>
  </si>
  <si>
    <t>2Q19 Shipments</t>
  </si>
  <si>
    <t>2Q18 Shipments</t>
  </si>
  <si>
    <t>Place the "PC Shipments 2Q 2018" Chart Here for Grading</t>
  </si>
  <si>
    <t>Lenovo</t>
  </si>
  <si>
    <t>HP Inc.</t>
  </si>
  <si>
    <t>Dell</t>
  </si>
  <si>
    <t>Apple</t>
  </si>
  <si>
    <t>Acer Group</t>
  </si>
  <si>
    <t>Others</t>
  </si>
  <si>
    <t>Place the "PC Shipments 2Q 2019" Chart Here for Grading</t>
  </si>
  <si>
    <t>Population Data for the Population in Selected Counties Chart</t>
  </si>
  <si>
    <t>Place the "Total Utah Population" Chart Here for Grading</t>
  </si>
  <si>
    <t>Davis County</t>
  </si>
  <si>
    <t>Salt Lake County</t>
  </si>
  <si>
    <t>Utah County</t>
  </si>
  <si>
    <t>Weber County</t>
  </si>
  <si>
    <t>Complete Population Data</t>
  </si>
  <si>
    <t>State Total</t>
  </si>
  <si>
    <t>Beaver County</t>
  </si>
  <si>
    <t>Box Elder County</t>
  </si>
  <si>
    <t>Cache County</t>
  </si>
  <si>
    <t>Carbon County</t>
  </si>
  <si>
    <t>Daggett County</t>
  </si>
  <si>
    <t>Duchesne County</t>
  </si>
  <si>
    <t>Emery County</t>
  </si>
  <si>
    <t>Garfield County</t>
  </si>
  <si>
    <t>Grand County</t>
  </si>
  <si>
    <t>Place the "Population in Selected Counties" Chart Here for Grading</t>
  </si>
  <si>
    <t>Iron County</t>
  </si>
  <si>
    <t>Juab County</t>
  </si>
  <si>
    <t>Kane County</t>
  </si>
  <si>
    <t>Millard County</t>
  </si>
  <si>
    <t>Morgan County</t>
  </si>
  <si>
    <t>Piute County</t>
  </si>
  <si>
    <t>Rich County</t>
  </si>
  <si>
    <t>San Juan County</t>
  </si>
  <si>
    <t>Sanpete County</t>
  </si>
  <si>
    <t>Sevier County</t>
  </si>
  <si>
    <t>Summit County</t>
  </si>
  <si>
    <t>Tooele County</t>
  </si>
  <si>
    <t>Uintah County</t>
  </si>
  <si>
    <t>Wasatch County</t>
  </si>
  <si>
    <t>Washington County</t>
  </si>
  <si>
    <t>Wayne County</t>
  </si>
  <si>
    <t>Education Attained</t>
  </si>
  <si>
    <t>Median Annual Earnings</t>
  </si>
  <si>
    <t>Unemployment Rate (%)</t>
  </si>
  <si>
    <t>Place the "Education and Unemployment" Chart Here for Grading</t>
  </si>
  <si>
    <t>Less than a high school diploma</t>
  </si>
  <si>
    <t>High-school graduate</t>
  </si>
  <si>
    <t>Some college, no degree</t>
  </si>
  <si>
    <t>Associate degree</t>
  </si>
  <si>
    <t>Bachelor's degree</t>
  </si>
  <si>
    <t>Master's degree</t>
  </si>
  <si>
    <t>Professional degree</t>
  </si>
  <si>
    <t>Doctoral degree</t>
  </si>
  <si>
    <t>Place the "Education and Income" Chart Here for Grading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</si>
</sst>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_(* #,##0_);_(* \(#,##0\);_(* &quot;-&quot;??_);_(@_)"/>
    <numFmt numFmtId="166" formatCode="0.0"/>
    <numFmt numFmtId="167" formatCode="&quot;$&quot;#,##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01E49A"/>
      </patternFill>
    </fill>
    <fill>
      <patternFill patternType="solid">
        <fgColor rgb="FFF0E68C"/>
        <bgColor rgb="FF01E49A"/>
      </patternFill>
    </fill>
  </fills>
  <borders count="3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BBBBB"/>
      </right>
      <top style="thin">
        <color rgb="FF0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000000"/>
      </top>
      <bottom style="thin">
        <color rgb="FFBBBBBB"/>
      </bottom>
      <diagonal/>
    </border>
    <border>
      <left style="thin">
        <color rgb="FFBBBBBB"/>
      </left>
      <right style="thin">
        <color rgb="FF000000"/>
      </right>
      <top style="thin">
        <color rgb="FF000000"/>
      </top>
      <bottom style="thin">
        <color rgb="FFBBBBBB"/>
      </bottom>
      <diagonal/>
    </border>
    <border>
      <left style="thin">
        <color rgb="FF0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000000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BBBBBB"/>
      </right>
      <top style="thin">
        <color rgb="FFBBBBBB"/>
      </top>
      <bottom style="thin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000000"/>
      </bottom>
      <diagonal/>
    </border>
    <border>
      <left style="thin">
        <color rgb="FFBBBBBB"/>
      </left>
      <right style="thin">
        <color rgb="FF000000"/>
      </right>
      <top style="thin">
        <color rgb="FFBBBBBB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BBBBBB"/>
      </left>
      <right style="medium">
        <color rgb="FF000000"/>
      </right>
      <top style="thin">
        <color rgb="FF000000"/>
      </top>
      <bottom style="thin">
        <color rgb="FFBBBBBB"/>
      </bottom>
      <diagonal/>
    </border>
    <border>
      <left style="thin">
        <color rgb="FFBBBBBB"/>
      </left>
      <right style="medium">
        <color rgb="FF000000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000000"/>
      </right>
      <top style="thin">
        <color rgb="FFBBBBBB"/>
      </top>
      <bottom style="medium">
        <color rgb="FF000000"/>
      </bottom>
      <diagonal/>
    </border>
    <border>
      <left style="medium">
        <color rgb="FF000000"/>
      </left>
      <right style="thin">
        <color rgb="FFBBBBBB"/>
      </right>
      <top style="thin">
        <color rgb="FF000000"/>
      </top>
      <bottom style="thin">
        <color rgb="FFBBBBBB"/>
      </bottom>
      <diagonal/>
    </border>
    <border>
      <left style="medium">
        <color rgb="FF0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0000"/>
      </left>
      <right style="thin">
        <color rgb="FFBBBBBB"/>
      </right>
      <top style="thin">
        <color rgb="FFBBBBBB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15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8" xfId="0" applyFill="1" applyBorder="1"/>
    <xf numFmtId="0" fontId="4" fillId="3" borderId="7" xfId="0" applyFont="1" applyFill="1" applyBorder="1" applyAlignment="1">
      <alignment vertical="center" wrapText="1"/>
    </xf>
    <xf numFmtId="0" fontId="2" fillId="2" borderId="0" xfId="0" applyFont="1" applyFill="1"/>
    <xf numFmtId="3" fontId="0" fillId="0" borderId="0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3" fontId="0" fillId="3" borderId="10" xfId="0" applyNumberFormat="1" applyFill="1" applyBorder="1" applyAlignment="1">
      <alignment horizontal="center"/>
    </xf>
    <xf numFmtId="3" fontId="0" fillId="3" borderId="11" xfId="0" applyNumberFormat="1" applyFill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3" fontId="0" fillId="3" borderId="16" xfId="0" applyNumberFormat="1" applyFill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" fillId="0" borderId="0" xfId="0" applyFont="1"/>
    <xf numFmtId="165" fontId="0" fillId="3" borderId="13" xfId="0" applyNumberFormat="1" applyFill="1" applyBorder="1"/>
    <xf numFmtId="165" fontId="0" fillId="3" borderId="10" xfId="0" applyNumberFormat="1" applyFill="1" applyBorder="1"/>
    <xf numFmtId="165" fontId="0" fillId="0" borderId="0" xfId="0" applyNumberFormat="1" applyBorder="1"/>
    <xf numFmtId="165" fontId="1" fillId="0" borderId="1" xfId="0" applyNumberFormat="1" applyFont="1" applyBorder="1"/>
    <xf numFmtId="165" fontId="0" fillId="3" borderId="19" xfId="0" applyNumberFormat="1" applyFill="1" applyBorder="1"/>
    <xf numFmtId="165" fontId="0" fillId="3" borderId="21" xfId="0" applyNumberFormat="1" applyFill="1" applyBorder="1"/>
    <xf numFmtId="165" fontId="0" fillId="3" borderId="22" xfId="0" applyNumberFormat="1" applyFill="1" applyBorder="1"/>
    <xf numFmtId="165" fontId="0" fillId="3" borderId="23" xfId="0" applyNumberFormat="1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165" fontId="0" fillId="0" borderId="29" xfId="0" applyNumberFormat="1" applyBorder="1"/>
    <xf numFmtId="165" fontId="1" fillId="0" borderId="30" xfId="0" applyNumberFormat="1" applyFont="1" applyBorder="1"/>
    <xf numFmtId="165" fontId="0" fillId="0" borderId="20" xfId="0" applyNumberFormat="1" applyBorder="1"/>
    <xf numFmtId="165" fontId="0" fillId="0" borderId="31" xfId="0" applyNumberFormat="1" applyBorder="1"/>
    <xf numFmtId="0" fontId="1" fillId="0" borderId="32" xfId="0" applyFont="1" applyBorder="1"/>
    <xf numFmtId="0" fontId="0" fillId="0" borderId="33" xfId="0" applyBorder="1"/>
    <xf numFmtId="0" fontId="0" fillId="0" borderId="34" xfId="0" applyBorder="1"/>
    <xf numFmtId="0" fontId="2" fillId="2" borderId="2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 wrapText="1"/>
    </xf>
    <xf numFmtId="167" fontId="0" fillId="0" borderId="0" xfId="0" applyNumberFormat="1" applyAlignment="1">
      <alignment horizontal="center"/>
    </xf>
    <xf numFmtId="167" fontId="0" fillId="3" borderId="13" xfId="0" applyNumberFormat="1" applyFill="1" applyBorder="1" applyAlignment="1">
      <alignment horizontal="center"/>
    </xf>
    <xf numFmtId="0" fontId="5" fillId="3" borderId="0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167" fontId="0" fillId="0" borderId="0" xfId="0" applyNumberFormat="1" applyBorder="1"/>
    <xf numFmtId="0" fontId="0" fillId="0" borderId="12" xfId="0" applyBorder="1"/>
    <xf numFmtId="0" fontId="0" fillId="0" borderId="15" xfId="0" applyBorder="1"/>
    <xf numFmtId="167" fontId="0" fillId="3" borderId="16" xfId="0" applyNumberFormat="1" applyFill="1" applyBorder="1" applyAlignment="1">
      <alignment horizontal="center"/>
    </xf>
    <xf numFmtId="166" fontId="0" fillId="3" borderId="14" xfId="0" applyNumberFormat="1" applyFill="1" applyBorder="1" applyAlignment="1">
      <alignment horizontal="center"/>
    </xf>
    <xf numFmtId="166" fontId="0" fillId="3" borderId="17" xfId="0" applyNumberFormat="1" applyFill="1" applyBorder="1" applyAlignment="1">
      <alignment horizontal="center"/>
    </xf>
    <xf numFmtId="0" fontId="0" fillId="0" borderId="9" xfId="0" applyBorder="1"/>
    <xf numFmtId="167" fontId="0" fillId="3" borderId="10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0" fontId="5" fillId="3" borderId="35" xfId="0" applyFont="1" applyFill="1" applyBorder="1" applyAlignment="1">
      <alignment vertical="center"/>
    </xf>
    <xf numFmtId="0" fontId="5" fillId="3" borderId="36" xfId="0" applyFont="1" applyFill="1" applyBorder="1" applyAlignment="1">
      <alignment vertical="center"/>
    </xf>
    <xf numFmtId="0" fontId="5" fillId="3" borderId="3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 Revenue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Apple!$B$4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Apple!$C$3:$G$3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Apple!$C$4:$G$4</c:f>
              <c:numCache>
                <c:formatCode>"$"#,##0.00</c:formatCode>
                <c:ptCount val="5"/>
                <c:pt idx="0">
                  <c:v>37.47</c:v>
                </c:pt>
                <c:pt idx="1">
                  <c:v>74.599999999999994</c:v>
                </c:pt>
                <c:pt idx="2">
                  <c:v>75.87</c:v>
                </c:pt>
                <c:pt idx="3">
                  <c:v>78.349999999999994</c:v>
                </c:pt>
                <c:pt idx="4">
                  <c:v>88.29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C-8540-BB1F-CE2217E86C3A}"/>
            </c:ext>
          </c:extLst>
        </c:ser>
        <c:ser>
          <c:idx val="1"/>
          <c:order val="1"/>
          <c:tx>
            <c:strRef>
              <c:f>Apple!$B$5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Apple!$C$3:$G$3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Apple!$C$5:$G$5</c:f>
              <c:numCache>
                <c:formatCode>"$"#,##0.00</c:formatCode>
                <c:ptCount val="5"/>
                <c:pt idx="0">
                  <c:v>45.65</c:v>
                </c:pt>
                <c:pt idx="1">
                  <c:v>58.01</c:v>
                </c:pt>
                <c:pt idx="2">
                  <c:v>50.56</c:v>
                </c:pt>
                <c:pt idx="3">
                  <c:v>52.9</c:v>
                </c:pt>
                <c:pt idx="4">
                  <c:v>61.14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C-8540-BB1F-CE2217E86C3A}"/>
            </c:ext>
          </c:extLst>
        </c:ser>
        <c:ser>
          <c:idx val="2"/>
          <c:order val="2"/>
          <c:tx>
            <c:strRef>
              <c:f>Apple!$B$6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Apple!$C$3:$G$3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Apple!$C$6:$G$6</c:f>
              <c:numCache>
                <c:formatCode>"$"#,##0.00</c:formatCode>
                <c:ptCount val="5"/>
                <c:pt idx="0">
                  <c:v>37.43</c:v>
                </c:pt>
                <c:pt idx="1">
                  <c:v>49.61</c:v>
                </c:pt>
                <c:pt idx="2">
                  <c:v>42.36</c:v>
                </c:pt>
                <c:pt idx="3">
                  <c:v>45.41</c:v>
                </c:pt>
                <c:pt idx="4">
                  <c:v>53.27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C-8540-BB1F-CE2217E86C3A}"/>
            </c:ext>
          </c:extLst>
        </c:ser>
        <c:ser>
          <c:idx val="3"/>
          <c:order val="3"/>
          <c:tx>
            <c:strRef>
              <c:f>Apple!$B$7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Apple!$C$3:$G$3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Apple!$C$7:$G$7</c:f>
              <c:numCache>
                <c:formatCode>"$"#,##0.00</c:formatCode>
                <c:ptCount val="5"/>
                <c:pt idx="0">
                  <c:v>42.12</c:v>
                </c:pt>
                <c:pt idx="1">
                  <c:v>51.5</c:v>
                </c:pt>
                <c:pt idx="2">
                  <c:v>46.85</c:v>
                </c:pt>
                <c:pt idx="3">
                  <c:v>52.58</c:v>
                </c:pt>
                <c:pt idx="4">
                  <c:v>62.9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C-8540-BB1F-CE2217E86C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7576992"/>
        <c:axId val="1477578704"/>
      </c:barChart>
      <c:catAx>
        <c:axId val="147757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78704"/>
        <c:crosses val="autoZero"/>
        <c:auto val="1"/>
        <c:lblAlgn val="ctr"/>
        <c:lblOffset val="100"/>
        <c:noMultiLvlLbl val="0"/>
      </c:catAx>
      <c:valAx>
        <c:axId val="14775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  <a:r>
              <a:rPr lang="en-US" baseline="0"/>
              <a:t> Shipments 2Q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'PC Shipments'!$B$3:$B$8</c:f>
              <c:strCache>
                <c:ptCount val="6"/>
                <c:pt idx="0">
                  <c:v>Lenovo</c:v>
                </c:pt>
                <c:pt idx="1">
                  <c:v>HP Inc.</c:v>
                </c:pt>
                <c:pt idx="2">
                  <c:v>Dell</c:v>
                </c:pt>
                <c:pt idx="3">
                  <c:v>Apple</c:v>
                </c:pt>
                <c:pt idx="4">
                  <c:v>Acer Group</c:v>
                </c:pt>
                <c:pt idx="5">
                  <c:v>Others</c:v>
                </c:pt>
              </c:strCache>
            </c:strRef>
          </c:cat>
          <c:val>
            <c:numRef>
              <c:f>'PC Shipments'!$C$3:$C$8</c:f>
              <c:numCache>
                <c:formatCode>#,##0</c:formatCode>
                <c:ptCount val="6"/>
                <c:pt idx="0">
                  <c:v>16254</c:v>
                </c:pt>
                <c:pt idx="1">
                  <c:v>15356</c:v>
                </c:pt>
                <c:pt idx="2">
                  <c:v>11606</c:v>
                </c:pt>
                <c:pt idx="3">
                  <c:v>4288</c:v>
                </c:pt>
                <c:pt idx="4">
                  <c:v>4077</c:v>
                </c:pt>
                <c:pt idx="5">
                  <c:v>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F-8144-94B9-78B1E92886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  <a:r>
              <a:rPr lang="en-US" baseline="0"/>
              <a:t> Shipments 2Q 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'PC Shipments'!$B$3:$B$8</c:f>
              <c:strCache>
                <c:ptCount val="6"/>
                <c:pt idx="0">
                  <c:v>Lenovo</c:v>
                </c:pt>
                <c:pt idx="1">
                  <c:v>HP Inc.</c:v>
                </c:pt>
                <c:pt idx="2">
                  <c:v>Dell</c:v>
                </c:pt>
                <c:pt idx="3">
                  <c:v>Apple</c:v>
                </c:pt>
                <c:pt idx="4">
                  <c:v>Acer Group</c:v>
                </c:pt>
                <c:pt idx="5">
                  <c:v>Others</c:v>
                </c:pt>
              </c:strCache>
            </c:strRef>
          </c:cat>
          <c:val>
            <c:numRef>
              <c:f>'PC Shipments'!$D$3:$D$8</c:f>
              <c:numCache>
                <c:formatCode>#,##0</c:formatCode>
                <c:ptCount val="6"/>
                <c:pt idx="0">
                  <c:v>13750</c:v>
                </c:pt>
                <c:pt idx="1">
                  <c:v>14880</c:v>
                </c:pt>
                <c:pt idx="2">
                  <c:v>11255</c:v>
                </c:pt>
                <c:pt idx="3">
                  <c:v>4363</c:v>
                </c:pt>
                <c:pt idx="4">
                  <c:v>3722</c:v>
                </c:pt>
                <c:pt idx="5">
                  <c:v>13961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E-6C47-AF97-D4BCFE1D7E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Utah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'Utah Population'!$B$11</c:f>
              <c:strCache>
                <c:ptCount val="1"/>
                <c:pt idx="0">
                  <c:v>State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'Utah Population'!$C$10:$L$10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'Utah Population'!$C$11:$L$11</c:f>
              <c:numCache>
                <c:formatCode>_(* #,##0_);_(* \(#,##0\);_(* "-"??_);_(@_)</c:formatCode>
                <c:ptCount val="10"/>
                <c:pt idx="0">
                  <c:v>2772371</c:v>
                </c:pt>
                <c:pt idx="1">
                  <c:v>2820613</c:v>
                </c:pt>
                <c:pt idx="2">
                  <c:v>2864744</c:v>
                </c:pt>
                <c:pt idx="3">
                  <c:v>2902179</c:v>
                </c:pt>
                <c:pt idx="4">
                  <c:v>2941964</c:v>
                </c:pt>
                <c:pt idx="5">
                  <c:v>2997584</c:v>
                </c:pt>
                <c:pt idx="6">
                  <c:v>3054994</c:v>
                </c:pt>
                <c:pt idx="7">
                  <c:v>3113983</c:v>
                </c:pt>
                <c:pt idx="8">
                  <c:v>3166666</c:v>
                </c:pt>
                <c:pt idx="9">
                  <c:v>3220262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3-7D46-BBA6-5EA6716F9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475903"/>
        <c:axId val="1381477615"/>
      </c:lineChart>
      <c:catAx>
        <c:axId val="13814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77615"/>
        <c:crosses val="autoZero"/>
        <c:auto val="1"/>
        <c:lblAlgn val="ctr"/>
        <c:lblOffset val="100"/>
        <c:noMultiLvlLbl val="0"/>
      </c:catAx>
      <c:valAx>
        <c:axId val="138147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7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  <a:r>
              <a:rPr lang="en-US" baseline="0"/>
              <a:t> in Selected Counties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'Utah Population'!$B$4</c:f>
              <c:strCache>
                <c:ptCount val="1"/>
                <c:pt idx="0">
                  <c:v>Davis County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'Utah Population'!$C$3:$L$3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'Utah Population'!$C$4:$L$4</c:f>
              <c:numCache>
                <c:formatCode>_(* #,##0_);_(* \(#,##0\);_(* "-"??_);_(@_)</c:formatCode>
                <c:ptCount val="10"/>
                <c:pt idx="0">
                  <c:v>307625</c:v>
                </c:pt>
                <c:pt idx="1">
                  <c:v>313280</c:v>
                </c:pt>
                <c:pt idx="2">
                  <c:v>318477</c:v>
                </c:pt>
                <c:pt idx="3">
                  <c:v>324410</c:v>
                </c:pt>
                <c:pt idx="4">
                  <c:v>329842</c:v>
                </c:pt>
                <c:pt idx="5">
                  <c:v>336106</c:v>
                </c:pt>
                <c:pt idx="6">
                  <c:v>342658</c:v>
                </c:pt>
                <c:pt idx="7">
                  <c:v>348763</c:v>
                </c:pt>
                <c:pt idx="8">
                  <c:v>352805</c:v>
                </c:pt>
                <c:pt idx="9">
                  <c:v>356964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D-9940-8B7F-32257BE0EE35}"/>
            </c:ext>
          </c:extLst>
        </c:ser>
        <c:ser>
          <c:idx val="1"/>
          <c:order val="1"/>
          <c:tx>
            <c:strRef>
              <c:f>'Utah Population'!$B$5</c:f>
              <c:strCache>
                <c:ptCount val="1"/>
                <c:pt idx="0">
                  <c:v>Salt Lake County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'Utah Population'!$C$3:$L$3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'Utah Population'!$C$5:$L$5</c:f>
              <c:numCache>
                <c:formatCode>_(* #,##0_);_(* \(#,##0\);_(* "-"??_);_(@_)</c:formatCode>
                <c:ptCount val="10"/>
                <c:pt idx="0">
                  <c:v>1031697</c:v>
                </c:pt>
                <c:pt idx="1">
                  <c:v>1046461</c:v>
                </c:pt>
                <c:pt idx="2">
                  <c:v>1060336</c:v>
                </c:pt>
                <c:pt idx="3">
                  <c:v>1070815</c:v>
                </c:pt>
                <c:pt idx="4">
                  <c:v>1080905</c:v>
                </c:pt>
                <c:pt idx="5">
                  <c:v>1094681</c:v>
                </c:pt>
                <c:pt idx="6">
                  <c:v>1108910</c:v>
                </c:pt>
                <c:pt idx="7">
                  <c:v>1128271</c:v>
                </c:pt>
                <c:pt idx="8">
                  <c:v>1142081</c:v>
                </c:pt>
                <c:pt idx="9">
                  <c:v>1152960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7D-9940-8B7F-32257BE0EE35}"/>
            </c:ext>
          </c:extLst>
        </c:ser>
        <c:ser>
          <c:idx val="2"/>
          <c:order val="2"/>
          <c:tx>
            <c:strRef>
              <c:f>'Utah Population'!$B$6</c:f>
              <c:strCache>
                <c:ptCount val="1"/>
                <c:pt idx="0">
                  <c:v>Utah County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'Utah Population'!$C$3:$L$3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'Utah Population'!$C$6:$L$6</c:f>
              <c:numCache>
                <c:formatCode>_(* #,##0_);_(* \(#,##0\);_(* "-"??_);_(@_)</c:formatCode>
                <c:ptCount val="10"/>
                <c:pt idx="0">
                  <c:v>518872</c:v>
                </c:pt>
                <c:pt idx="1">
                  <c:v>532753</c:v>
                </c:pt>
                <c:pt idx="2">
                  <c:v>544892</c:v>
                </c:pt>
                <c:pt idx="3">
                  <c:v>554405</c:v>
                </c:pt>
                <c:pt idx="4">
                  <c:v>567218</c:v>
                </c:pt>
                <c:pt idx="5">
                  <c:v>585719</c:v>
                </c:pt>
                <c:pt idx="6">
                  <c:v>603385</c:v>
                </c:pt>
                <c:pt idx="7">
                  <c:v>617735</c:v>
                </c:pt>
                <c:pt idx="8">
                  <c:v>633582</c:v>
                </c:pt>
                <c:pt idx="9">
                  <c:v>651409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7D-9940-8B7F-32257BE0EE35}"/>
            </c:ext>
          </c:extLst>
        </c:ser>
        <c:ser>
          <c:idx val="3"/>
          <c:order val="3"/>
          <c:tx>
            <c:strRef>
              <c:f>'Utah Population'!$B$7</c:f>
              <c:strCache>
                <c:ptCount val="1"/>
                <c:pt idx="0">
                  <c:v>Weber County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'Utah Population'!$C$3:$L$3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'Utah Population'!$C$7:$L$7</c:f>
              <c:numCache>
                <c:formatCode>_(* #,##0_);_(* \(#,##0\);_(* "-"??_);_(@_)</c:formatCode>
                <c:ptCount val="10"/>
                <c:pt idx="0">
                  <c:v>231833</c:v>
                </c:pt>
                <c:pt idx="1">
                  <c:v>233819</c:v>
                </c:pt>
                <c:pt idx="2">
                  <c:v>236391</c:v>
                </c:pt>
                <c:pt idx="3">
                  <c:v>237921</c:v>
                </c:pt>
                <c:pt idx="4">
                  <c:v>239588</c:v>
                </c:pt>
                <c:pt idx="5">
                  <c:v>242753</c:v>
                </c:pt>
                <c:pt idx="6">
                  <c:v>245687</c:v>
                </c:pt>
                <c:pt idx="7">
                  <c:v>248835</c:v>
                </c:pt>
                <c:pt idx="8">
                  <c:v>251571</c:v>
                </c:pt>
                <c:pt idx="9">
                  <c:v>253455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7D-9940-8B7F-32257BE0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077728"/>
        <c:axId val="1092069424"/>
      </c:lineChart>
      <c:catAx>
        <c:axId val="10920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69424"/>
        <c:crosses val="autoZero"/>
        <c:auto val="1"/>
        <c:lblAlgn val="ctr"/>
        <c:lblOffset val="100"/>
        <c:noMultiLvlLbl val="0"/>
      </c:catAx>
      <c:valAx>
        <c:axId val="10920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7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and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Education!$B$3:$B$10</c:f>
              <c:strCache>
                <c:ptCount val="8"/>
                <c:pt idx="0">
                  <c:v>Less than a high school diploma</c:v>
                </c:pt>
                <c:pt idx="1">
                  <c:v>High-school graduate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Master's degree</c:v>
                </c:pt>
                <c:pt idx="6">
                  <c:v>Professional degree</c:v>
                </c:pt>
                <c:pt idx="7">
                  <c:v>Doctoral degree</c:v>
                </c:pt>
              </c:strCache>
            </c:strRef>
          </c:cat>
          <c:val>
            <c:numRef>
              <c:f>Education!$C$3:$C$10</c:f>
              <c:numCache>
                <c:formatCode>"$"#,##0</c:formatCode>
                <c:ptCount val="8"/>
                <c:pt idx="0">
                  <c:v>28756</c:v>
                </c:pt>
                <c:pt idx="1">
                  <c:v>37960</c:v>
                </c:pt>
                <c:pt idx="2">
                  <c:v>41704</c:v>
                </c:pt>
                <c:pt idx="3">
                  <c:v>44824</c:v>
                </c:pt>
                <c:pt idx="4">
                  <c:v>62296</c:v>
                </c:pt>
                <c:pt idx="5">
                  <c:v>74568</c:v>
                </c:pt>
                <c:pt idx="6">
                  <c:v>97968</c:v>
                </c:pt>
                <c:pt idx="7">
                  <c:v>94900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E94D-BF44-5F2A8F49A1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5966079"/>
        <c:axId val="435967791"/>
      </c:barChart>
      <c:catAx>
        <c:axId val="4359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67791"/>
        <c:crosses val="autoZero"/>
        <c:auto val="1"/>
        <c:lblAlgn val="ctr"/>
        <c:lblOffset val="100"/>
        <c:noMultiLvlLbl val="0"/>
      </c:catAx>
      <c:valAx>
        <c:axId val="43596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 and Unemployment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Education!$B$3:$B$10</c:f>
              <c:strCache>
                <c:ptCount val="8"/>
                <c:pt idx="0">
                  <c:v>Less than a high school diploma</c:v>
                </c:pt>
                <c:pt idx="1">
                  <c:v>High-school graduate</c:v>
                </c:pt>
                <c:pt idx="2">
                  <c:v>Some college, no degree</c:v>
                </c:pt>
                <c:pt idx="3">
                  <c:v>Associate degree</c:v>
                </c:pt>
                <c:pt idx="4">
                  <c:v>Bachelor's degree</c:v>
                </c:pt>
                <c:pt idx="5">
                  <c:v>Master's degree</c:v>
                </c:pt>
                <c:pt idx="6">
                  <c:v>Professional degree</c:v>
                </c:pt>
                <c:pt idx="7">
                  <c:v>Doctoral degree</c:v>
                </c:pt>
              </c:strCache>
            </c:strRef>
          </c:cat>
          <c:val>
            <c:numRef>
              <c:f>Education!$D$3:$D$10</c:f>
              <c:numCache>
                <c:formatCode>0.0</c:formatCode>
                <c:ptCount val="8"/>
                <c:pt idx="0">
                  <c:v>5.6</c:v>
                </c:pt>
                <c:pt idx="1">
                  <c:v>4.0999999999999996</c:v>
                </c:pt>
                <c:pt idx="2">
                  <c:v>3.7</c:v>
                </c:pt>
                <c:pt idx="3">
                  <c:v>2.8</c:v>
                </c:pt>
                <c:pt idx="4">
                  <c:v>2.2000000000000002</c:v>
                </c:pt>
                <c:pt idx="5">
                  <c:v>2.1</c:v>
                </c:pt>
                <c:pt idx="6">
                  <c:v>1.5</c:v>
                </c:pt>
                <c:pt idx="7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7-B341-94BE-556B905ED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3682927"/>
        <c:axId val="263490399"/>
      </c:barChart>
      <c:catAx>
        <c:axId val="26368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90399"/>
        <c:crosses val="autoZero"/>
        <c:auto val="1"/>
        <c:lblAlgn val="ctr"/>
        <c:lblOffset val="100"/>
        <c:noMultiLvlLbl val="0"/>
      </c:catAx>
      <c:valAx>
        <c:axId val="26349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8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9</xdr:row>
      <xdr:rowOff>63500</xdr:rowOff>
    </xdr:from>
    <xdr:to>
      <xdr:col>7</xdr:col>
      <xdr:colOff>444500</xdr:colOff>
      <xdr:row>22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261F7-5C42-B5BB-E3BD-2D2873F76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9</xdr:row>
      <xdr:rowOff>101600</xdr:rowOff>
    </xdr:from>
    <xdr:to>
      <xdr:col>5</xdr:col>
      <xdr:colOff>596900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C34AA-3D3B-9EBB-41C8-1B25C9FBC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50800</xdr:colOff>
      <xdr:row>1</xdr:row>
      <xdr:rowOff>101600</xdr:rowOff>
    </xdr:from>
    <xdr:to>
      <xdr:col>10</xdr:col>
      <xdr:colOff>495300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CCFF74-2840-7EF7-33D8-199C20D34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2</xdr:row>
      <xdr:rowOff>50800</xdr:rowOff>
    </xdr:from>
    <xdr:to>
      <xdr:col>18</xdr:col>
      <xdr:colOff>596900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BFB14-38F7-2078-3DAE-2E2A30AD8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20</xdr:row>
      <xdr:rowOff>76200</xdr:rowOff>
    </xdr:from>
    <xdr:to>
      <xdr:col>18</xdr:col>
      <xdr:colOff>520700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B74CC-89DC-1314-3C97-7C249F898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11</xdr:row>
      <xdr:rowOff>139700</xdr:rowOff>
    </xdr:from>
    <xdr:to>
      <xdr:col>3</xdr:col>
      <xdr:colOff>939800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D3E29-FD87-7CA2-484F-360C09E76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1</xdr:row>
      <xdr:rowOff>127000</xdr:rowOff>
    </xdr:from>
    <xdr:to>
      <xdr:col>10</xdr:col>
      <xdr:colOff>546100</xdr:colOff>
      <xdr:row>14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F0E700-0D39-1AA0-DD53-9EEBD0E59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EAA48F-0FE2-D848-9006-8D527F665656}">
  <we:reference id="8db4248b-3b9d-4fb7-989c-eae74deb6253" version="2.0.1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6112-2F3E-6540-802D-829A0AF816EC}">
  <dimension ref="B1:G16"/>
  <sheetViews>
    <sheetView workbookViewId="0">
      <selection activeCell="B3" sqref="B3:G7"/>
    </sheetView>
  </sheetViews>
  <sheetFormatPr baseColWidth="10" defaultRowHeight="16" x14ac:dyDescent="0.2"/>
  <cols>
    <col min="1" max="1" width="3.33203125" customWidth="1"/>
    <col min="2" max="7" width="9.1640625" customWidth="1"/>
  </cols>
  <sheetData>
    <row r="1" spans="2:7" x14ac:dyDescent="0.2">
      <c r="C1" s="2"/>
      <c r="D1" s="2"/>
      <c r="E1" s="2"/>
      <c r="F1" s="2"/>
      <c r="G1" s="2"/>
    </row>
    <row r="2" spans="2:7" x14ac:dyDescent="0.2">
      <c r="B2" s="4" t="s">
        <v>0</v>
      </c>
      <c r="C2" s="1"/>
      <c r="D2" s="1"/>
      <c r="E2" s="1"/>
      <c r="F2" s="1"/>
      <c r="G2" s="1"/>
    </row>
    <row r="3" spans="2:7" x14ac:dyDescent="0.2">
      <c r="B3" s="9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</row>
    <row r="4" spans="2:7" x14ac:dyDescent="0.2">
      <c r="B4" s="11" t="s">
        <v>7</v>
      </c>
      <c r="C4" s="12">
        <v>37.47</v>
      </c>
      <c r="D4" s="12">
        <v>74.599999999999994</v>
      </c>
      <c r="E4" s="12">
        <v>75.87</v>
      </c>
      <c r="F4" s="12">
        <v>78.349999999999994</v>
      </c>
      <c r="G4" s="13">
        <v>88.29</v>
      </c>
    </row>
    <row r="5" spans="2:7" x14ac:dyDescent="0.2">
      <c r="B5" s="14" t="s">
        <v>8</v>
      </c>
      <c r="C5" s="15">
        <v>45.65</v>
      </c>
      <c r="D5" s="15">
        <v>58.01</v>
      </c>
      <c r="E5" s="15">
        <v>50.56</v>
      </c>
      <c r="F5" s="15">
        <v>52.9</v>
      </c>
      <c r="G5" s="16">
        <v>61.14</v>
      </c>
    </row>
    <row r="6" spans="2:7" x14ac:dyDescent="0.2">
      <c r="B6" s="14" t="s">
        <v>9</v>
      </c>
      <c r="C6" s="15">
        <v>37.43</v>
      </c>
      <c r="D6" s="15">
        <v>49.61</v>
      </c>
      <c r="E6" s="15">
        <v>42.36</v>
      </c>
      <c r="F6" s="15">
        <v>45.41</v>
      </c>
      <c r="G6" s="16">
        <v>53.27</v>
      </c>
    </row>
    <row r="7" spans="2:7" x14ac:dyDescent="0.2">
      <c r="B7" s="14" t="s">
        <v>10</v>
      </c>
      <c r="C7" s="15">
        <v>42.12</v>
      </c>
      <c r="D7" s="15">
        <v>51.5</v>
      </c>
      <c r="E7" s="15">
        <v>46.85</v>
      </c>
      <c r="F7" s="15">
        <v>52.58</v>
      </c>
      <c r="G7" s="16">
        <v>62.9</v>
      </c>
    </row>
    <row r="8" spans="2:7" x14ac:dyDescent="0.2">
      <c r="B8" s="6" t="s">
        <v>11</v>
      </c>
      <c r="C8" s="7">
        <v>162.66999999999999</v>
      </c>
      <c r="D8" s="7">
        <v>233.72</v>
      </c>
      <c r="E8" s="7">
        <v>215.64</v>
      </c>
      <c r="F8" s="7">
        <v>229.24</v>
      </c>
      <c r="G8" s="8">
        <v>265.60000000000002</v>
      </c>
    </row>
    <row r="9" spans="2:7" x14ac:dyDescent="0.2">
      <c r="B9" s="5"/>
      <c r="C9" s="5"/>
      <c r="D9" s="5"/>
      <c r="E9" s="5"/>
      <c r="F9" s="5"/>
      <c r="G9" s="5"/>
    </row>
    <row r="10" spans="2:7" x14ac:dyDescent="0.2">
      <c r="B10" s="25" t="s">
        <v>12</v>
      </c>
      <c r="C10" s="23"/>
      <c r="D10" s="24"/>
    </row>
    <row r="11" spans="2:7" x14ac:dyDescent="0.2">
      <c r="B11" s="18"/>
      <c r="C11" s="17"/>
      <c r="D11" s="21"/>
    </row>
    <row r="12" spans="2:7" x14ac:dyDescent="0.2">
      <c r="B12" s="18"/>
      <c r="C12" s="17"/>
      <c r="D12" s="21"/>
    </row>
    <row r="13" spans="2:7" x14ac:dyDescent="0.2">
      <c r="B13" s="18"/>
      <c r="C13" s="17"/>
      <c r="D13" s="21"/>
    </row>
    <row r="14" spans="2:7" x14ac:dyDescent="0.2">
      <c r="B14" s="18"/>
      <c r="C14" s="17"/>
      <c r="D14" s="21"/>
    </row>
    <row r="15" spans="2:7" x14ac:dyDescent="0.2">
      <c r="B15" s="19"/>
      <c r="C15" s="20"/>
      <c r="D15" s="22"/>
    </row>
    <row r="16" spans="2:7" x14ac:dyDescent="0.2">
      <c r="B16" s="5"/>
      <c r="C16" s="5"/>
      <c r="D16" s="5"/>
    </row>
  </sheetData>
  <mergeCells count="2">
    <mergeCell ref="B2:G2"/>
    <mergeCell ref="B10:D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F521-146A-8F40-9C1C-0E4FC11437CE}">
  <dimension ref="B1:H16"/>
  <sheetViews>
    <sheetView workbookViewId="0">
      <selection activeCell="D3" activeCellId="1" sqref="B3:B8 D3:D8"/>
    </sheetView>
  </sheetViews>
  <sheetFormatPr baseColWidth="10" defaultRowHeight="16" x14ac:dyDescent="0.2"/>
  <cols>
    <col min="1" max="1" width="3.33203125" customWidth="1"/>
    <col min="2" max="2" width="12.5" customWidth="1"/>
    <col min="3" max="4" width="15" customWidth="1"/>
  </cols>
  <sheetData>
    <row r="1" spans="2:8" x14ac:dyDescent="0.2">
      <c r="B1" s="2"/>
      <c r="C1" s="2"/>
      <c r="D1" s="2"/>
    </row>
    <row r="2" spans="2:8" x14ac:dyDescent="0.2">
      <c r="B2" s="26" t="s">
        <v>13</v>
      </c>
      <c r="C2" s="26" t="s">
        <v>14</v>
      </c>
      <c r="D2" s="26" t="s">
        <v>15</v>
      </c>
      <c r="F2" s="25" t="s">
        <v>16</v>
      </c>
      <c r="G2" s="42"/>
      <c r="H2" s="37"/>
    </row>
    <row r="3" spans="2:8" x14ac:dyDescent="0.2">
      <c r="B3" s="30" t="s">
        <v>17</v>
      </c>
      <c r="C3" s="31">
        <v>16254</v>
      </c>
      <c r="D3" s="32">
        <v>13750</v>
      </c>
      <c r="F3" s="38"/>
      <c r="G3" s="43"/>
      <c r="H3" s="39"/>
    </row>
    <row r="4" spans="2:8" x14ac:dyDescent="0.2">
      <c r="B4" s="28" t="s">
        <v>18</v>
      </c>
      <c r="C4" s="33">
        <v>15356</v>
      </c>
      <c r="D4" s="34">
        <v>14880</v>
      </c>
      <c r="F4" s="38"/>
      <c r="G4" s="43"/>
      <c r="H4" s="39"/>
    </row>
    <row r="5" spans="2:8" x14ac:dyDescent="0.2">
      <c r="B5" s="28" t="s">
        <v>19</v>
      </c>
      <c r="C5" s="33">
        <v>11606</v>
      </c>
      <c r="D5" s="34">
        <v>11255</v>
      </c>
      <c r="F5" s="38"/>
      <c r="G5" s="43"/>
      <c r="H5" s="39"/>
    </row>
    <row r="6" spans="2:8" x14ac:dyDescent="0.2">
      <c r="B6" s="28" t="s">
        <v>20</v>
      </c>
      <c r="C6" s="33">
        <v>4288</v>
      </c>
      <c r="D6" s="34">
        <v>4363</v>
      </c>
      <c r="F6" s="38"/>
      <c r="G6" s="43"/>
      <c r="H6" s="39"/>
    </row>
    <row r="7" spans="2:8" x14ac:dyDescent="0.2">
      <c r="B7" s="28" t="s">
        <v>21</v>
      </c>
      <c r="C7" s="33">
        <v>4077</v>
      </c>
      <c r="D7" s="34">
        <v>3722</v>
      </c>
      <c r="F7" s="40"/>
      <c r="G7" s="44"/>
      <c r="H7" s="41"/>
    </row>
    <row r="8" spans="2:8" x14ac:dyDescent="0.2">
      <c r="B8" s="29" t="s">
        <v>22</v>
      </c>
      <c r="C8" s="35">
        <v>13276</v>
      </c>
      <c r="D8" s="36">
        <v>13961</v>
      </c>
      <c r="F8" s="5"/>
      <c r="G8" s="5"/>
      <c r="H8" s="5"/>
    </row>
    <row r="9" spans="2:8" x14ac:dyDescent="0.2">
      <c r="B9" s="5"/>
      <c r="C9" s="27"/>
      <c r="D9" s="27"/>
    </row>
    <row r="10" spans="2:8" x14ac:dyDescent="0.2">
      <c r="B10" s="25" t="s">
        <v>23</v>
      </c>
      <c r="C10" s="37"/>
    </row>
    <row r="11" spans="2:8" x14ac:dyDescent="0.2">
      <c r="B11" s="38"/>
      <c r="C11" s="39"/>
    </row>
    <row r="12" spans="2:8" x14ac:dyDescent="0.2">
      <c r="B12" s="38"/>
      <c r="C12" s="39"/>
    </row>
    <row r="13" spans="2:8" x14ac:dyDescent="0.2">
      <c r="B13" s="38"/>
      <c r="C13" s="39"/>
    </row>
    <row r="14" spans="2:8" x14ac:dyDescent="0.2">
      <c r="B14" s="38"/>
      <c r="C14" s="39"/>
    </row>
    <row r="15" spans="2:8" x14ac:dyDescent="0.2">
      <c r="B15" s="40"/>
      <c r="C15" s="41"/>
    </row>
    <row r="16" spans="2:8" x14ac:dyDescent="0.2">
      <c r="B16" s="5"/>
      <c r="C16" s="5"/>
    </row>
  </sheetData>
  <mergeCells count="2">
    <mergeCell ref="B10:C15"/>
    <mergeCell ref="F2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20AF-8805-304C-90C4-3AEACD6E1A92}">
  <dimension ref="B2:P41"/>
  <sheetViews>
    <sheetView topLeftCell="C1" workbookViewId="0">
      <selection activeCell="B3" sqref="B3:L7"/>
    </sheetView>
  </sheetViews>
  <sheetFormatPr baseColWidth="10" defaultRowHeight="16" x14ac:dyDescent="0.2"/>
  <cols>
    <col min="1" max="1" width="3.33203125" customWidth="1"/>
    <col min="2" max="2" width="20" customWidth="1"/>
    <col min="3" max="12" width="11.6640625" customWidth="1"/>
    <col min="13" max="13" width="3.33203125" customWidth="1"/>
  </cols>
  <sheetData>
    <row r="2" spans="2:16" ht="17" thickBot="1" x14ac:dyDescent="0.25">
      <c r="B2" s="45" t="s">
        <v>24</v>
      </c>
    </row>
    <row r="3" spans="2:16" x14ac:dyDescent="0.2">
      <c r="B3" s="64"/>
      <c r="C3" s="65">
        <v>2010</v>
      </c>
      <c r="D3" s="65">
        <v>2011</v>
      </c>
      <c r="E3" s="65">
        <v>2012</v>
      </c>
      <c r="F3" s="65">
        <v>2013</v>
      </c>
      <c r="G3" s="65">
        <v>2014</v>
      </c>
      <c r="H3" s="65">
        <v>2015</v>
      </c>
      <c r="I3" s="65">
        <v>2016</v>
      </c>
      <c r="J3" s="65">
        <v>2017</v>
      </c>
      <c r="K3" s="65">
        <v>2018</v>
      </c>
      <c r="L3" s="66">
        <v>2019</v>
      </c>
      <c r="N3" s="67" t="s">
        <v>25</v>
      </c>
      <c r="O3" s="42"/>
      <c r="P3" s="37"/>
    </row>
    <row r="4" spans="2:16" x14ac:dyDescent="0.2">
      <c r="B4" s="54" t="s">
        <v>26</v>
      </c>
      <c r="C4" s="47">
        <f>VLOOKUP($B4,$B$11:$L$40,2,FALSE)</f>
        <v>307625</v>
      </c>
      <c r="D4" s="47">
        <f>VLOOKUP($B4,$B$11:$L$40,3,FALSE)</f>
        <v>313280</v>
      </c>
      <c r="E4" s="47">
        <f>VLOOKUP($B4,$B$11:$L$40,4,FALSE)</f>
        <v>318477</v>
      </c>
      <c r="F4" s="47">
        <f>VLOOKUP($B4,$B$11:$L$40,5,FALSE)</f>
        <v>324410</v>
      </c>
      <c r="G4" s="47">
        <f>VLOOKUP($B4,$B$11:$L$40,6,FALSE)</f>
        <v>329842</v>
      </c>
      <c r="H4" s="47">
        <f>VLOOKUP($B4,$B$11:$L$40,7,FALSE)</f>
        <v>336106</v>
      </c>
      <c r="I4" s="47">
        <f>VLOOKUP($B4,$B$11:$L$40,8,FALSE)</f>
        <v>342658</v>
      </c>
      <c r="J4" s="47">
        <f>VLOOKUP($B4,$B$11:$L$40,9,FALSE)</f>
        <v>348763</v>
      </c>
      <c r="K4" s="47">
        <f>VLOOKUP($B4,$B$11:$L$40,10,FALSE)</f>
        <v>352805</v>
      </c>
      <c r="L4" s="51">
        <f>VLOOKUP($B4,$B$11:$L$40,11,FALSE)</f>
        <v>356964</v>
      </c>
      <c r="N4" s="38"/>
      <c r="O4" s="43"/>
      <c r="P4" s="39"/>
    </row>
    <row r="5" spans="2:16" x14ac:dyDescent="0.2">
      <c r="B5" s="55" t="s">
        <v>27</v>
      </c>
      <c r="C5" s="46">
        <f>VLOOKUP($B5,$B$11:$L$40,2,FALSE)</f>
        <v>1031697</v>
      </c>
      <c r="D5" s="46">
        <f>VLOOKUP($B5,$B$11:$L$40,3,FALSE)</f>
        <v>1046461</v>
      </c>
      <c r="E5" s="46">
        <f>VLOOKUP($B5,$B$11:$L$40,4,FALSE)</f>
        <v>1060336</v>
      </c>
      <c r="F5" s="46">
        <f>VLOOKUP($B5,$B$11:$L$40,5,FALSE)</f>
        <v>1070815</v>
      </c>
      <c r="G5" s="46">
        <f>VLOOKUP($B5,$B$11:$L$40,6,FALSE)</f>
        <v>1080905</v>
      </c>
      <c r="H5" s="46">
        <f>VLOOKUP($B5,$B$11:$L$40,7,FALSE)</f>
        <v>1094681</v>
      </c>
      <c r="I5" s="46">
        <f>VLOOKUP($B5,$B$11:$L$40,8,FALSE)</f>
        <v>1108910</v>
      </c>
      <c r="J5" s="46">
        <f>VLOOKUP($B5,$B$11:$L$40,9,FALSE)</f>
        <v>1128271</v>
      </c>
      <c r="K5" s="46">
        <f>VLOOKUP($B5,$B$11:$L$40,10,FALSE)</f>
        <v>1142081</v>
      </c>
      <c r="L5" s="52">
        <f>VLOOKUP($B5,$B$11:$L$40,11,FALSE)</f>
        <v>1152960</v>
      </c>
      <c r="N5" s="38"/>
      <c r="O5" s="43"/>
      <c r="P5" s="39"/>
    </row>
    <row r="6" spans="2:16" x14ac:dyDescent="0.2">
      <c r="B6" s="55" t="s">
        <v>28</v>
      </c>
      <c r="C6" s="46">
        <f>VLOOKUP($B6,$B$11:$L$40,2,FALSE)</f>
        <v>518872</v>
      </c>
      <c r="D6" s="46">
        <f>VLOOKUP($B6,$B$11:$L$40,3,FALSE)</f>
        <v>532753</v>
      </c>
      <c r="E6" s="46">
        <f>VLOOKUP($B6,$B$11:$L$40,4,FALSE)</f>
        <v>544892</v>
      </c>
      <c r="F6" s="46">
        <f>VLOOKUP($B6,$B$11:$L$40,5,FALSE)</f>
        <v>554405</v>
      </c>
      <c r="G6" s="46">
        <f>VLOOKUP($B6,$B$11:$L$40,6,FALSE)</f>
        <v>567218</v>
      </c>
      <c r="H6" s="46">
        <f>VLOOKUP($B6,$B$11:$L$40,7,FALSE)</f>
        <v>585719</v>
      </c>
      <c r="I6" s="46">
        <f>VLOOKUP($B6,$B$11:$L$40,8,FALSE)</f>
        <v>603385</v>
      </c>
      <c r="J6" s="46">
        <f>VLOOKUP($B6,$B$11:$L$40,9,FALSE)</f>
        <v>617735</v>
      </c>
      <c r="K6" s="46">
        <f>VLOOKUP($B6,$B$11:$L$40,10,FALSE)</f>
        <v>633582</v>
      </c>
      <c r="L6" s="52">
        <f>VLOOKUP($B6,$B$11:$L$40,11,FALSE)</f>
        <v>651409</v>
      </c>
      <c r="N6" s="38"/>
      <c r="O6" s="43"/>
      <c r="P6" s="39"/>
    </row>
    <row r="7" spans="2:16" ht="17" thickBot="1" x14ac:dyDescent="0.25">
      <c r="B7" s="56" t="s">
        <v>29</v>
      </c>
      <c r="C7" s="50">
        <f>VLOOKUP($B7,$B$11:$L$40,2,FALSE)</f>
        <v>231833</v>
      </c>
      <c r="D7" s="50">
        <f>VLOOKUP($B7,$B$11:$L$40,3,FALSE)</f>
        <v>233819</v>
      </c>
      <c r="E7" s="50">
        <f>VLOOKUP($B7,$B$11:$L$40,4,FALSE)</f>
        <v>236391</v>
      </c>
      <c r="F7" s="50">
        <f>VLOOKUP($B7,$B$11:$L$40,5,FALSE)</f>
        <v>237921</v>
      </c>
      <c r="G7" s="50">
        <f>VLOOKUP($B7,$B$11:$L$40,6,FALSE)</f>
        <v>239588</v>
      </c>
      <c r="H7" s="50">
        <f>VLOOKUP($B7,$B$11:$L$40,7,FALSE)</f>
        <v>242753</v>
      </c>
      <c r="I7" s="50">
        <f>VLOOKUP($B7,$B$11:$L$40,8,FALSE)</f>
        <v>245687</v>
      </c>
      <c r="J7" s="50">
        <f>VLOOKUP($B7,$B$11:$L$40,9,FALSE)</f>
        <v>248835</v>
      </c>
      <c r="K7" s="50">
        <f>VLOOKUP($B7,$B$11:$L$40,10,FALSE)</f>
        <v>251571</v>
      </c>
      <c r="L7" s="53">
        <f>VLOOKUP($B7,$B$11:$L$40,11,FALSE)</f>
        <v>253455</v>
      </c>
      <c r="N7" s="38"/>
      <c r="O7" s="43"/>
      <c r="P7" s="39"/>
    </row>
    <row r="8" spans="2:16" x14ac:dyDescent="0.2">
      <c r="B8" s="5"/>
      <c r="C8" s="5"/>
      <c r="D8" s="5"/>
      <c r="E8" s="5"/>
      <c r="F8" s="5"/>
      <c r="G8" s="5"/>
      <c r="H8" s="5"/>
      <c r="I8" s="5"/>
      <c r="J8" s="5"/>
      <c r="K8" s="5"/>
      <c r="L8" s="5"/>
      <c r="N8" s="40"/>
      <c r="O8" s="44"/>
      <c r="P8" s="41"/>
    </row>
    <row r="9" spans="2:16" ht="17" thickBot="1" x14ac:dyDescent="0.25">
      <c r="B9" s="45" t="s">
        <v>30</v>
      </c>
      <c r="N9" s="5"/>
      <c r="O9" s="5"/>
      <c r="P9" s="5"/>
    </row>
    <row r="10" spans="2:16" x14ac:dyDescent="0.2">
      <c r="B10" s="64"/>
      <c r="C10" s="65">
        <v>2010</v>
      </c>
      <c r="D10" s="65">
        <v>2011</v>
      </c>
      <c r="E10" s="65">
        <v>2012</v>
      </c>
      <c r="F10" s="65">
        <v>2013</v>
      </c>
      <c r="G10" s="65">
        <v>2014</v>
      </c>
      <c r="H10" s="65">
        <v>2015</v>
      </c>
      <c r="I10" s="65">
        <v>2016</v>
      </c>
      <c r="J10" s="65">
        <v>2017</v>
      </c>
      <c r="K10" s="65">
        <v>2018</v>
      </c>
      <c r="L10" s="66">
        <v>2019</v>
      </c>
    </row>
    <row r="11" spans="2:16" x14ac:dyDescent="0.2">
      <c r="B11" s="61" t="s">
        <v>31</v>
      </c>
      <c r="C11" s="49">
        <v>2772371</v>
      </c>
      <c r="D11" s="49">
        <v>2820613</v>
      </c>
      <c r="E11" s="49">
        <v>2864744</v>
      </c>
      <c r="F11" s="49">
        <v>2902179</v>
      </c>
      <c r="G11" s="49">
        <v>2941964</v>
      </c>
      <c r="H11" s="49">
        <v>2997584</v>
      </c>
      <c r="I11" s="49">
        <v>3054994</v>
      </c>
      <c r="J11" s="49">
        <v>3113983</v>
      </c>
      <c r="K11" s="49">
        <v>3166666</v>
      </c>
      <c r="L11" s="58">
        <v>3220262</v>
      </c>
    </row>
    <row r="12" spans="2:16" x14ac:dyDescent="0.2">
      <c r="B12" s="62" t="s">
        <v>32</v>
      </c>
      <c r="C12" s="48">
        <v>6643</v>
      </c>
      <c r="D12" s="48">
        <v>6658</v>
      </c>
      <c r="E12" s="48">
        <v>6670</v>
      </c>
      <c r="F12" s="48">
        <v>6754</v>
      </c>
      <c r="G12" s="48">
        <v>6661</v>
      </c>
      <c r="H12" s="48">
        <v>6710</v>
      </c>
      <c r="I12" s="48">
        <v>6782</v>
      </c>
      <c r="J12" s="48">
        <v>6843</v>
      </c>
      <c r="K12" s="48">
        <v>6910</v>
      </c>
      <c r="L12" s="59">
        <v>6976</v>
      </c>
    </row>
    <row r="13" spans="2:16" x14ac:dyDescent="0.2">
      <c r="B13" s="62" t="s">
        <v>33</v>
      </c>
      <c r="C13" s="48">
        <v>50067</v>
      </c>
      <c r="D13" s="48">
        <v>50640</v>
      </c>
      <c r="E13" s="48">
        <v>51155</v>
      </c>
      <c r="F13" s="48">
        <v>51795</v>
      </c>
      <c r="G13" s="48">
        <v>52282</v>
      </c>
      <c r="H13" s="48">
        <v>52971</v>
      </c>
      <c r="I13" s="48">
        <v>54040</v>
      </c>
      <c r="J13" s="48">
        <v>54971</v>
      </c>
      <c r="K13" s="48">
        <v>55685</v>
      </c>
      <c r="L13" s="59">
        <v>56329</v>
      </c>
    </row>
    <row r="14" spans="2:16" x14ac:dyDescent="0.2">
      <c r="B14" s="62" t="s">
        <v>34</v>
      </c>
      <c r="C14" s="48">
        <v>113307</v>
      </c>
      <c r="D14" s="48">
        <v>115004</v>
      </c>
      <c r="E14" s="48">
        <v>116404</v>
      </c>
      <c r="F14" s="48">
        <v>117600</v>
      </c>
      <c r="G14" s="48">
        <v>118876</v>
      </c>
      <c r="H14" s="48">
        <v>121873</v>
      </c>
      <c r="I14" s="48">
        <v>123926</v>
      </c>
      <c r="J14" s="48">
        <v>126490</v>
      </c>
      <c r="K14" s="48">
        <v>128887</v>
      </c>
      <c r="L14" s="59">
        <v>131387</v>
      </c>
    </row>
    <row r="15" spans="2:16" x14ac:dyDescent="0.2">
      <c r="B15" s="62" t="s">
        <v>35</v>
      </c>
      <c r="C15" s="48">
        <v>21419</v>
      </c>
      <c r="D15" s="48">
        <v>21505</v>
      </c>
      <c r="E15" s="48">
        <v>21590</v>
      </c>
      <c r="F15" s="48">
        <v>21341</v>
      </c>
      <c r="G15" s="48">
        <v>21203</v>
      </c>
      <c r="H15" s="48">
        <v>21168</v>
      </c>
      <c r="I15" s="48">
        <v>21193</v>
      </c>
      <c r="J15" s="48">
        <v>21209</v>
      </c>
      <c r="K15" s="48">
        <v>21396</v>
      </c>
      <c r="L15" s="59">
        <v>21482</v>
      </c>
    </row>
    <row r="16" spans="2:16" x14ac:dyDescent="0.2">
      <c r="B16" s="62" t="s">
        <v>36</v>
      </c>
      <c r="C16" s="48">
        <v>1078</v>
      </c>
      <c r="D16" s="48">
        <v>1109</v>
      </c>
      <c r="E16" s="48">
        <v>1114</v>
      </c>
      <c r="F16" s="48">
        <v>1157</v>
      </c>
      <c r="G16" s="48">
        <v>1113</v>
      </c>
      <c r="H16" s="48">
        <v>1114</v>
      </c>
      <c r="I16" s="48">
        <v>1104</v>
      </c>
      <c r="J16" s="48">
        <v>1052</v>
      </c>
      <c r="K16" s="48">
        <v>1061</v>
      </c>
      <c r="L16" s="59">
        <v>1073</v>
      </c>
    </row>
    <row r="17" spans="2:16" x14ac:dyDescent="0.2">
      <c r="B17" s="62" t="s">
        <v>26</v>
      </c>
      <c r="C17" s="48">
        <v>307625</v>
      </c>
      <c r="D17" s="48">
        <v>313280</v>
      </c>
      <c r="E17" s="48">
        <v>318477</v>
      </c>
      <c r="F17" s="48">
        <v>324410</v>
      </c>
      <c r="G17" s="48">
        <v>329842</v>
      </c>
      <c r="H17" s="48">
        <v>336106</v>
      </c>
      <c r="I17" s="48">
        <v>342658</v>
      </c>
      <c r="J17" s="48">
        <v>348763</v>
      </c>
      <c r="K17" s="48">
        <v>352805</v>
      </c>
      <c r="L17" s="59">
        <v>356964</v>
      </c>
    </row>
    <row r="18" spans="2:16" x14ac:dyDescent="0.2">
      <c r="B18" s="62" t="s">
        <v>37</v>
      </c>
      <c r="C18" s="48">
        <v>18721</v>
      </c>
      <c r="D18" s="48">
        <v>19020</v>
      </c>
      <c r="E18" s="48">
        <v>19696</v>
      </c>
      <c r="F18" s="48">
        <v>20283</v>
      </c>
      <c r="G18" s="48">
        <v>20577</v>
      </c>
      <c r="H18" s="48">
        <v>20822</v>
      </c>
      <c r="I18" s="48">
        <v>20609</v>
      </c>
      <c r="J18" s="48">
        <v>20828</v>
      </c>
      <c r="K18" s="48">
        <v>20850</v>
      </c>
      <c r="L18" s="59">
        <v>20846</v>
      </c>
    </row>
    <row r="19" spans="2:16" x14ac:dyDescent="0.2">
      <c r="B19" s="62" t="s">
        <v>38</v>
      </c>
      <c r="C19" s="48">
        <v>11012</v>
      </c>
      <c r="D19" s="48">
        <v>11128</v>
      </c>
      <c r="E19" s="48">
        <v>10964</v>
      </c>
      <c r="F19" s="48">
        <v>10945</v>
      </c>
      <c r="G19" s="48">
        <v>10845</v>
      </c>
      <c r="H19" s="48">
        <v>10662</v>
      </c>
      <c r="I19" s="48">
        <v>10577</v>
      </c>
      <c r="J19" s="48">
        <v>10672</v>
      </c>
      <c r="K19" s="48">
        <v>10669</v>
      </c>
      <c r="L19" s="59">
        <v>10666</v>
      </c>
    </row>
    <row r="20" spans="2:16" x14ac:dyDescent="0.2">
      <c r="B20" s="62" t="s">
        <v>39</v>
      </c>
      <c r="C20" s="48">
        <v>5171</v>
      </c>
      <c r="D20" s="48">
        <v>5203</v>
      </c>
      <c r="E20" s="48">
        <v>5226</v>
      </c>
      <c r="F20" s="48">
        <v>5220</v>
      </c>
      <c r="G20" s="48">
        <v>5194</v>
      </c>
      <c r="H20" s="48">
        <v>5164</v>
      </c>
      <c r="I20" s="48">
        <v>5191</v>
      </c>
      <c r="J20" s="48">
        <v>5240</v>
      </c>
      <c r="K20" s="48">
        <v>5229</v>
      </c>
      <c r="L20" s="59">
        <v>5226</v>
      </c>
    </row>
    <row r="21" spans="2:16" x14ac:dyDescent="0.2">
      <c r="B21" s="62" t="s">
        <v>40</v>
      </c>
      <c r="C21" s="48">
        <v>9238</v>
      </c>
      <c r="D21" s="48">
        <v>9395</v>
      </c>
      <c r="E21" s="48">
        <v>9529</v>
      </c>
      <c r="F21" s="48">
        <v>9553</v>
      </c>
      <c r="G21" s="48">
        <v>9631</v>
      </c>
      <c r="H21" s="48">
        <v>9764</v>
      </c>
      <c r="I21" s="48">
        <v>9943</v>
      </c>
      <c r="J21" s="48">
        <v>10059</v>
      </c>
      <c r="K21" s="48">
        <v>10262</v>
      </c>
      <c r="L21" s="59">
        <v>10117</v>
      </c>
      <c r="N21" s="67" t="s">
        <v>41</v>
      </c>
      <c r="O21" s="42"/>
      <c r="P21" s="37"/>
    </row>
    <row r="22" spans="2:16" x14ac:dyDescent="0.2">
      <c r="B22" s="62" t="s">
        <v>42</v>
      </c>
      <c r="C22" s="48">
        <v>46221</v>
      </c>
      <c r="D22" s="48">
        <v>46955</v>
      </c>
      <c r="E22" s="48">
        <v>47311</v>
      </c>
      <c r="F22" s="48">
        <v>47622</v>
      </c>
      <c r="G22" s="48">
        <v>48193</v>
      </c>
      <c r="H22" s="48">
        <v>49412</v>
      </c>
      <c r="I22" s="48">
        <v>50747</v>
      </c>
      <c r="J22" s="48">
        <v>52278</v>
      </c>
      <c r="K22" s="48">
        <v>54151</v>
      </c>
      <c r="L22" s="59">
        <v>55401</v>
      </c>
      <c r="N22" s="38"/>
      <c r="O22" s="43"/>
      <c r="P22" s="39"/>
    </row>
    <row r="23" spans="2:16" x14ac:dyDescent="0.2">
      <c r="B23" s="62" t="s">
        <v>43</v>
      </c>
      <c r="C23" s="48">
        <v>10280</v>
      </c>
      <c r="D23" s="48">
        <v>10380</v>
      </c>
      <c r="E23" s="48">
        <v>10485</v>
      </c>
      <c r="F23" s="48">
        <v>10604</v>
      </c>
      <c r="G23" s="48">
        <v>10824</v>
      </c>
      <c r="H23" s="48">
        <v>11072</v>
      </c>
      <c r="I23" s="48">
        <v>11542</v>
      </c>
      <c r="J23" s="48">
        <v>11798</v>
      </c>
      <c r="K23" s="48">
        <v>12177</v>
      </c>
      <c r="L23" s="59">
        <v>12455</v>
      </c>
      <c r="N23" s="38"/>
      <c r="O23" s="43"/>
      <c r="P23" s="39"/>
    </row>
    <row r="24" spans="2:16" x14ac:dyDescent="0.2">
      <c r="B24" s="62" t="s">
        <v>44</v>
      </c>
      <c r="C24" s="48">
        <v>7116</v>
      </c>
      <c r="D24" s="48">
        <v>7200</v>
      </c>
      <c r="E24" s="48">
        <v>7302</v>
      </c>
      <c r="F24" s="48">
        <v>7321</v>
      </c>
      <c r="G24" s="48">
        <v>7268</v>
      </c>
      <c r="H24" s="48">
        <v>7272</v>
      </c>
      <c r="I24" s="48">
        <v>7583</v>
      </c>
      <c r="J24" s="48">
        <v>7558</v>
      </c>
      <c r="K24" s="48">
        <v>7718</v>
      </c>
      <c r="L24" s="59">
        <v>7716</v>
      </c>
      <c r="N24" s="38"/>
      <c r="O24" s="43"/>
      <c r="P24" s="39"/>
    </row>
    <row r="25" spans="2:16" x14ac:dyDescent="0.2">
      <c r="B25" s="62" t="s">
        <v>45</v>
      </c>
      <c r="C25" s="48">
        <v>12535</v>
      </c>
      <c r="D25" s="48">
        <v>12706</v>
      </c>
      <c r="E25" s="48">
        <v>12816</v>
      </c>
      <c r="F25" s="48">
        <v>12956</v>
      </c>
      <c r="G25" s="48">
        <v>13023</v>
      </c>
      <c r="H25" s="48">
        <v>13105</v>
      </c>
      <c r="I25" s="48">
        <v>13291</v>
      </c>
      <c r="J25" s="48">
        <v>13477</v>
      </c>
      <c r="K25" s="48">
        <v>13586</v>
      </c>
      <c r="L25" s="59">
        <v>13743</v>
      </c>
      <c r="N25" s="38"/>
      <c r="O25" s="43"/>
      <c r="P25" s="39"/>
    </row>
    <row r="26" spans="2:16" x14ac:dyDescent="0.2">
      <c r="B26" s="62" t="s">
        <v>46</v>
      </c>
      <c r="C26" s="48">
        <v>9518</v>
      </c>
      <c r="D26" s="48">
        <v>9714</v>
      </c>
      <c r="E26" s="48">
        <v>10049</v>
      </c>
      <c r="F26" s="48">
        <v>10418</v>
      </c>
      <c r="G26" s="48">
        <v>10776</v>
      </c>
      <c r="H26" s="48">
        <v>11081</v>
      </c>
      <c r="I26" s="48">
        <v>11522</v>
      </c>
      <c r="J26" s="48">
        <v>11725</v>
      </c>
      <c r="K26" s="48">
        <v>11963</v>
      </c>
      <c r="L26" s="59">
        <v>12189</v>
      </c>
      <c r="N26" s="40"/>
      <c r="O26" s="44"/>
      <c r="P26" s="41"/>
    </row>
    <row r="27" spans="2:16" x14ac:dyDescent="0.2">
      <c r="B27" s="62" t="s">
        <v>47</v>
      </c>
      <c r="C27" s="48">
        <v>1555</v>
      </c>
      <c r="D27" s="48">
        <v>1576</v>
      </c>
      <c r="E27" s="48">
        <v>1585</v>
      </c>
      <c r="F27" s="48">
        <v>1603</v>
      </c>
      <c r="G27" s="48">
        <v>1594</v>
      </c>
      <c r="H27" s="48">
        <v>1632</v>
      </c>
      <c r="I27" s="48">
        <v>1604</v>
      </c>
      <c r="J27" s="48">
        <v>1607</v>
      </c>
      <c r="K27" s="48">
        <v>1663</v>
      </c>
      <c r="L27" s="59">
        <v>1711</v>
      </c>
      <c r="N27" s="5"/>
      <c r="O27" s="5"/>
      <c r="P27" s="5"/>
    </row>
    <row r="28" spans="2:16" x14ac:dyDescent="0.2">
      <c r="B28" s="62" t="s">
        <v>48</v>
      </c>
      <c r="C28" s="48">
        <v>2278</v>
      </c>
      <c r="D28" s="48">
        <v>2291</v>
      </c>
      <c r="E28" s="48">
        <v>2277</v>
      </c>
      <c r="F28" s="48">
        <v>2300</v>
      </c>
      <c r="G28" s="48">
        <v>2324</v>
      </c>
      <c r="H28" s="48">
        <v>2355</v>
      </c>
      <c r="I28" s="48">
        <v>2357</v>
      </c>
      <c r="J28" s="48">
        <v>2371</v>
      </c>
      <c r="K28" s="48">
        <v>2428</v>
      </c>
      <c r="L28" s="59">
        <v>2398</v>
      </c>
    </row>
    <row r="29" spans="2:16" x14ac:dyDescent="0.2">
      <c r="B29" s="62" t="s">
        <v>27</v>
      </c>
      <c r="C29" s="48">
        <v>1031697</v>
      </c>
      <c r="D29" s="48">
        <v>1046461</v>
      </c>
      <c r="E29" s="48">
        <v>1060336</v>
      </c>
      <c r="F29" s="48">
        <v>1070815</v>
      </c>
      <c r="G29" s="48">
        <v>1080905</v>
      </c>
      <c r="H29" s="48">
        <v>1094681</v>
      </c>
      <c r="I29" s="48">
        <v>1108910</v>
      </c>
      <c r="J29" s="48">
        <v>1128271</v>
      </c>
      <c r="K29" s="48">
        <v>1142081</v>
      </c>
      <c r="L29" s="59">
        <v>1152960</v>
      </c>
    </row>
    <row r="30" spans="2:16" x14ac:dyDescent="0.2">
      <c r="B30" s="62" t="s">
        <v>49</v>
      </c>
      <c r="C30" s="48">
        <v>14771</v>
      </c>
      <c r="D30" s="48">
        <v>15037</v>
      </c>
      <c r="E30" s="48">
        <v>15448</v>
      </c>
      <c r="F30" s="48">
        <v>15578</v>
      </c>
      <c r="G30" s="48">
        <v>15782</v>
      </c>
      <c r="H30" s="48">
        <v>15919</v>
      </c>
      <c r="I30" s="48">
        <v>16324</v>
      </c>
      <c r="J30" s="48">
        <v>16333</v>
      </c>
      <c r="K30" s="48">
        <v>16490</v>
      </c>
      <c r="L30" s="59">
        <v>16680</v>
      </c>
    </row>
    <row r="31" spans="2:16" x14ac:dyDescent="0.2">
      <c r="B31" s="62" t="s">
        <v>50</v>
      </c>
      <c r="C31" s="48">
        <v>27907</v>
      </c>
      <c r="D31" s="48">
        <v>28351</v>
      </c>
      <c r="E31" s="48">
        <v>28485</v>
      </c>
      <c r="F31" s="48">
        <v>28632</v>
      </c>
      <c r="G31" s="48">
        <v>28705</v>
      </c>
      <c r="H31" s="48">
        <v>29089</v>
      </c>
      <c r="I31" s="48">
        <v>29490</v>
      </c>
      <c r="J31" s="48">
        <v>30032</v>
      </c>
      <c r="K31" s="48">
        <v>30578</v>
      </c>
      <c r="L31" s="59">
        <v>31003</v>
      </c>
    </row>
    <row r="32" spans="2:16" x14ac:dyDescent="0.2">
      <c r="B32" s="62" t="s">
        <v>51</v>
      </c>
      <c r="C32" s="48">
        <v>20814</v>
      </c>
      <c r="D32" s="48">
        <v>20893</v>
      </c>
      <c r="E32" s="48">
        <v>21053</v>
      </c>
      <c r="F32" s="48">
        <v>21021</v>
      </c>
      <c r="G32" s="48">
        <v>21102</v>
      </c>
      <c r="H32" s="48">
        <v>21240</v>
      </c>
      <c r="I32" s="48">
        <v>21519</v>
      </c>
      <c r="J32" s="48">
        <v>21765</v>
      </c>
      <c r="K32" s="48">
        <v>21928</v>
      </c>
      <c r="L32" s="59">
        <v>22219</v>
      </c>
    </row>
    <row r="33" spans="2:12" x14ac:dyDescent="0.2">
      <c r="B33" s="62" t="s">
        <v>52</v>
      </c>
      <c r="C33" s="48">
        <v>36562</v>
      </c>
      <c r="D33" s="48">
        <v>37396</v>
      </c>
      <c r="E33" s="48">
        <v>37936</v>
      </c>
      <c r="F33" s="48">
        <v>38212</v>
      </c>
      <c r="G33" s="48">
        <v>38678</v>
      </c>
      <c r="H33" s="48">
        <v>39280</v>
      </c>
      <c r="I33" s="48">
        <v>40051</v>
      </c>
      <c r="J33" s="48">
        <v>40771</v>
      </c>
      <c r="K33" s="48">
        <v>41285</v>
      </c>
      <c r="L33" s="59">
        <v>41824</v>
      </c>
    </row>
    <row r="34" spans="2:12" x14ac:dyDescent="0.2">
      <c r="B34" s="62" t="s">
        <v>53</v>
      </c>
      <c r="C34" s="48">
        <v>58358</v>
      </c>
      <c r="D34" s="48">
        <v>59151</v>
      </c>
      <c r="E34" s="48">
        <v>60131</v>
      </c>
      <c r="F34" s="48">
        <v>61367</v>
      </c>
      <c r="G34" s="48">
        <v>62184</v>
      </c>
      <c r="H34" s="48">
        <v>63266</v>
      </c>
      <c r="I34" s="48">
        <v>65290</v>
      </c>
      <c r="J34" s="48">
        <v>67133</v>
      </c>
      <c r="K34" s="48">
        <v>68858</v>
      </c>
      <c r="L34" s="59">
        <v>70889</v>
      </c>
    </row>
    <row r="35" spans="2:12" x14ac:dyDescent="0.2">
      <c r="B35" s="62" t="s">
        <v>54</v>
      </c>
      <c r="C35" s="48">
        <v>32760</v>
      </c>
      <c r="D35" s="48">
        <v>33943</v>
      </c>
      <c r="E35" s="48">
        <v>35047</v>
      </c>
      <c r="F35" s="48">
        <v>36146</v>
      </c>
      <c r="G35" s="48">
        <v>36981</v>
      </c>
      <c r="H35" s="48">
        <v>37398</v>
      </c>
      <c r="I35" s="48">
        <v>36583</v>
      </c>
      <c r="J35" s="48">
        <v>36612</v>
      </c>
      <c r="K35" s="48">
        <v>36921</v>
      </c>
      <c r="L35" s="59">
        <v>36973</v>
      </c>
    </row>
    <row r="36" spans="2:12" x14ac:dyDescent="0.2">
      <c r="B36" s="62" t="s">
        <v>28</v>
      </c>
      <c r="C36" s="48">
        <v>518872</v>
      </c>
      <c r="D36" s="48">
        <v>532753</v>
      </c>
      <c r="E36" s="48">
        <v>544892</v>
      </c>
      <c r="F36" s="48">
        <v>554405</v>
      </c>
      <c r="G36" s="48">
        <v>567218</v>
      </c>
      <c r="H36" s="48">
        <v>585719</v>
      </c>
      <c r="I36" s="48">
        <v>603385</v>
      </c>
      <c r="J36" s="48">
        <v>617735</v>
      </c>
      <c r="K36" s="48">
        <v>633582</v>
      </c>
      <c r="L36" s="59">
        <v>651409</v>
      </c>
    </row>
    <row r="37" spans="2:12" x14ac:dyDescent="0.2">
      <c r="B37" s="62" t="s">
        <v>55</v>
      </c>
      <c r="C37" s="48">
        <v>23652</v>
      </c>
      <c r="D37" s="48">
        <v>24484</v>
      </c>
      <c r="E37" s="48">
        <v>25542</v>
      </c>
      <c r="F37" s="48">
        <v>26390</v>
      </c>
      <c r="G37" s="48">
        <v>27344</v>
      </c>
      <c r="H37" s="48">
        <v>28616</v>
      </c>
      <c r="I37" s="48">
        <v>29998</v>
      </c>
      <c r="J37" s="48">
        <v>31224</v>
      </c>
      <c r="K37" s="48">
        <v>32138</v>
      </c>
      <c r="L37" s="59">
        <v>32866</v>
      </c>
    </row>
    <row r="38" spans="2:12" x14ac:dyDescent="0.2">
      <c r="B38" s="62" t="s">
        <v>56</v>
      </c>
      <c r="C38" s="48">
        <v>138579</v>
      </c>
      <c r="D38" s="48">
        <v>141797</v>
      </c>
      <c r="E38" s="48">
        <v>144061</v>
      </c>
      <c r="F38" s="48">
        <v>147061</v>
      </c>
      <c r="G38" s="48">
        <v>150508</v>
      </c>
      <c r="H38" s="48">
        <v>154615</v>
      </c>
      <c r="I38" s="48">
        <v>160371</v>
      </c>
      <c r="J38" s="48">
        <v>165592</v>
      </c>
      <c r="K38" s="48">
        <v>171042</v>
      </c>
      <c r="L38" s="59">
        <v>180550</v>
      </c>
    </row>
    <row r="39" spans="2:12" x14ac:dyDescent="0.2">
      <c r="B39" s="62" t="s">
        <v>57</v>
      </c>
      <c r="C39" s="48">
        <v>2782</v>
      </c>
      <c r="D39" s="48">
        <v>2766</v>
      </c>
      <c r="E39" s="48">
        <v>2773</v>
      </c>
      <c r="F39" s="48">
        <v>2748</v>
      </c>
      <c r="G39" s="48">
        <v>2740</v>
      </c>
      <c r="H39" s="48">
        <v>2725</v>
      </c>
      <c r="I39" s="48">
        <v>2719</v>
      </c>
      <c r="J39" s="48">
        <v>2738</v>
      </c>
      <c r="K39" s="48">
        <v>2752</v>
      </c>
      <c r="L39" s="59">
        <v>2754</v>
      </c>
    </row>
    <row r="40" spans="2:12" ht="17" thickBot="1" x14ac:dyDescent="0.25">
      <c r="B40" s="63" t="s">
        <v>29</v>
      </c>
      <c r="C40" s="57">
        <v>231833</v>
      </c>
      <c r="D40" s="57">
        <v>233819</v>
      </c>
      <c r="E40" s="57">
        <v>236391</v>
      </c>
      <c r="F40" s="57">
        <v>237921</v>
      </c>
      <c r="G40" s="57">
        <v>239588</v>
      </c>
      <c r="H40" s="57">
        <v>242753</v>
      </c>
      <c r="I40" s="57">
        <v>245687</v>
      </c>
      <c r="J40" s="57">
        <v>248835</v>
      </c>
      <c r="K40" s="57">
        <v>251571</v>
      </c>
      <c r="L40" s="60">
        <v>253455</v>
      </c>
    </row>
    <row r="41" spans="2:12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2">
    <mergeCell ref="N3:P8"/>
    <mergeCell ref="N21:P26"/>
  </mergeCells>
  <dataValidations count="4">
    <dataValidation type="list" allowBlank="1" showInputMessage="1" showErrorMessage="1" sqref="B4" xr:uid="{2FA8CFE5-5B18-C345-92F8-7B1BAFD8E490}">
      <formula1>B11:B40</formula1>
    </dataValidation>
    <dataValidation type="list" allowBlank="1" showInputMessage="1" showErrorMessage="1" sqref="B5" xr:uid="{94615F77-0BA1-1E49-8C4A-BBBFCBFB8E64}">
      <formula1>B11:B40</formula1>
    </dataValidation>
    <dataValidation type="list" allowBlank="1" showInputMessage="1" showErrorMessage="1" sqref="B6" xr:uid="{FA56DD53-3BA7-DC4B-A19A-829F68E9BB67}">
      <formula1>B11:B40</formula1>
    </dataValidation>
    <dataValidation type="list" allowBlank="1" showInputMessage="1" showErrorMessage="1" sqref="B7" xr:uid="{608B2C29-5904-5F46-8275-D007CE26B4FB}">
      <formula1>B11:B40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EAFB-D7FC-834A-9994-0AF5C6CEA1E0}">
  <dimension ref="B2:I18"/>
  <sheetViews>
    <sheetView tabSelected="1" workbookViewId="0">
      <selection activeCell="D3" activeCellId="1" sqref="B3:B10 D3:D10"/>
    </sheetView>
  </sheetViews>
  <sheetFormatPr baseColWidth="10" defaultRowHeight="16" x14ac:dyDescent="0.2"/>
  <cols>
    <col min="1" max="1" width="3.33203125" customWidth="1"/>
    <col min="2" max="2" width="28.33203125" customWidth="1"/>
    <col min="3" max="3" width="21.6640625" customWidth="1"/>
    <col min="4" max="4" width="22.5" customWidth="1"/>
  </cols>
  <sheetData>
    <row r="2" spans="2:9" ht="20" customHeight="1" x14ac:dyDescent="0.2">
      <c r="B2" s="9" t="s">
        <v>58</v>
      </c>
      <c r="C2" s="9" t="s">
        <v>59</v>
      </c>
      <c r="D2" s="9" t="s">
        <v>60</v>
      </c>
      <c r="F2" s="67" t="s">
        <v>61</v>
      </c>
      <c r="G2" s="76"/>
      <c r="H2" s="77"/>
      <c r="I2" s="3"/>
    </row>
    <row r="3" spans="2:9" x14ac:dyDescent="0.2">
      <c r="B3" s="84" t="s">
        <v>62</v>
      </c>
      <c r="C3" s="85">
        <v>28756</v>
      </c>
      <c r="D3" s="86">
        <v>5.6</v>
      </c>
      <c r="F3" s="71"/>
      <c r="G3" s="70"/>
      <c r="H3" s="74"/>
    </row>
    <row r="4" spans="2:9" x14ac:dyDescent="0.2">
      <c r="B4" s="79" t="s">
        <v>63</v>
      </c>
      <c r="C4" s="69">
        <v>37960</v>
      </c>
      <c r="D4" s="82">
        <v>4.0999999999999996</v>
      </c>
      <c r="F4" s="71"/>
      <c r="G4" s="70"/>
      <c r="H4" s="74"/>
    </row>
    <row r="5" spans="2:9" x14ac:dyDescent="0.2">
      <c r="B5" s="79" t="s">
        <v>64</v>
      </c>
      <c r="C5" s="69">
        <v>41704</v>
      </c>
      <c r="D5" s="82">
        <v>3.7</v>
      </c>
      <c r="F5" s="71"/>
      <c r="G5" s="70"/>
      <c r="H5" s="74"/>
    </row>
    <row r="6" spans="2:9" x14ac:dyDescent="0.2">
      <c r="B6" s="79" t="s">
        <v>65</v>
      </c>
      <c r="C6" s="69">
        <v>44824</v>
      </c>
      <c r="D6" s="82">
        <v>2.8</v>
      </c>
      <c r="F6" s="71"/>
      <c r="G6" s="70"/>
      <c r="H6" s="74"/>
    </row>
    <row r="7" spans="2:9" x14ac:dyDescent="0.2">
      <c r="B7" s="79" t="s">
        <v>66</v>
      </c>
      <c r="C7" s="69">
        <v>62296</v>
      </c>
      <c r="D7" s="82">
        <v>2.2000000000000002</v>
      </c>
      <c r="F7" s="72"/>
      <c r="G7" s="73"/>
      <c r="H7" s="75"/>
    </row>
    <row r="8" spans="2:9" x14ac:dyDescent="0.2">
      <c r="B8" s="79" t="s">
        <v>67</v>
      </c>
      <c r="C8" s="69">
        <v>74568</v>
      </c>
      <c r="D8" s="82">
        <v>2.1</v>
      </c>
      <c r="F8" s="5"/>
      <c r="G8" s="5"/>
      <c r="H8" s="5"/>
    </row>
    <row r="9" spans="2:9" x14ac:dyDescent="0.2">
      <c r="B9" s="79" t="s">
        <v>68</v>
      </c>
      <c r="C9" s="69">
        <v>97968</v>
      </c>
      <c r="D9" s="82">
        <v>1.5</v>
      </c>
    </row>
    <row r="10" spans="2:9" x14ac:dyDescent="0.2">
      <c r="B10" s="80" t="s">
        <v>69</v>
      </c>
      <c r="C10" s="81">
        <v>94900</v>
      </c>
      <c r="D10" s="83">
        <v>1.6</v>
      </c>
    </row>
    <row r="11" spans="2:9" x14ac:dyDescent="0.2">
      <c r="B11" s="5"/>
      <c r="C11" s="78"/>
      <c r="D11" s="5"/>
    </row>
    <row r="12" spans="2:9" ht="20" customHeight="1" x14ac:dyDescent="0.2">
      <c r="B12" s="89" t="s">
        <v>70</v>
      </c>
      <c r="C12" s="68"/>
    </row>
    <row r="13" spans="2:9" x14ac:dyDescent="0.2">
      <c r="B13" s="87"/>
    </row>
    <row r="14" spans="2:9" x14ac:dyDescent="0.2">
      <c r="B14" s="87"/>
    </row>
    <row r="15" spans="2:9" x14ac:dyDescent="0.2">
      <c r="B15" s="87"/>
    </row>
    <row r="16" spans="2:9" x14ac:dyDescent="0.2">
      <c r="B16" s="87"/>
    </row>
    <row r="17" spans="2:2" x14ac:dyDescent="0.2">
      <c r="B17" s="88"/>
    </row>
    <row r="18" spans="2:2" x14ac:dyDescent="0.2">
      <c r="B18" s="5"/>
    </row>
  </sheetData>
  <mergeCells count="2">
    <mergeCell ref="F2:H7"/>
    <mergeCell ref="B12:B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properties xmlns="http://schemas.myeducator.com/symphony/msoffice/properties/officeprops">[obf3]gfzIcHaUTN4cBNz707aPENd9EpWILJ8c-HCSu7drv7tUc51UrHCbrNW707dib98r15aXb9tMzJdi_5aNbsC~tgaN_H4s~UCFzs1ja7tVP</properties>
</file>

<file path=customXml/item2.xml><?xml version="1.0" encoding="utf-8"?>
<properties xmlns="http://schemas.myeducator.com/symphony/msoffice/properties/submission">[obf3]e5LedNup~8md-8L4A4uvM8y2MI3eBkid_NFnE4ytb4cp6ku6tgVptNF1t834A4EE1YSnBDRe~GY.wHD4_4cpdgVptNF1t834A4yG12itVguq12cfLkyGogu81HF.cJu8oNmH.pFzLHVwu4MBMkcGtNmZM9MeRHmnMNmQMsiz</properties>
</file>

<file path=customXml/item3.xml><?xml version="1.0" encoding="utf-8"?>
<properties xmlns="http://schemas.myeducator.com/properties/myeducator/atlas_meta">H4sIAAAAAAAAAz3JSwrDIBRG4b384wo3xkTrVkqRG40QYhF80EHI3hso5Iw+OAe4Ja6uttJ962WFPfDNZV9y3t0WYEEcZ376QQQzkFBstDBxlIIie0VzNF4THvjk0NPq0lYb7At0peV4jb/UremWxPs8fwtDDTeCAAAA</properties>
</file>

<file path=customXml/item4.xml><?xml version="1.0" encoding="utf-8"?>
<properties xmlns="http://schemas.myeducator.com/properties/myeducator/atlas_meta_I9WxgiM86fYk">H4sIAAAAAAAAA+1YbW/bNhD+K4Q+dYCRxk7RDUIWILYTbMDQFWvzaSmEs3SyiVCkwBcnbub/viOpN7txuqH1hhXzF/PlSD53vHseSY8JGMOXskJpk1Q6IUZJpQonMEkfm1YmXbVAnaTJKf2+n0ySUVJrrnQG1mJVW5Okp6NEkym1fqdlaAwsaYfkmguBBVtsWOlkbrmStFZC5edmK9DWsGvlZMHeIGg2QyFo3lis40bdojTJvXVWa8xXmN95BKChMh5lnMr94jSZjj28ZkgJV9HiSTug1X2SjqlbgIXMrBDJ6eSqcDmEY7bbD9vRv4v/+lP4r3fgP4/+wyixYO7i8QVa4ILaybkSzG5q/BEuzgW/eIcCc8vsCpkGuURWKs0Q8hXDdjcmcI2CvZiepdPx6XcMyElvvwbh0IQFFRYcJOMyVxWyF7OzdOYtF0iTSMMGteVyGZYFB0782ddKV2D7QXbP7Sp0LbcC2W3vUTj057D9bcKaRVbVJ+cvaaPgyErdPw2cGt56pTT/qKQFweCBmxP2RllMGS/ZRjm2gjUyE4KB0b29bUyA0Hjow/6MdyNqckPuCMEEv0OxYSA0QrGhRdEMDPbY54pJZVnBTS2AbOnEJcpiz7lwqICFx9L4RBFgqoxu078fuk1ishiKUzO01FCv+s3eCsixWy6wtCxXWqJu7eNlqDWN+K6pMeclp7DEDGms7pW+C5nX7PxSiQtK2ELxjj5WXO7k5R8wJgte0NjlZV8+8V7jsb4cFC0zsTp7JmlW+WV9Ub7v0PqUZhRzH0fyhorL7tUne9+YzLrp9qQzX6lgna+PUNclYrEAKs406cx+UcYGdovdK6CQEaYzTxMNuOkBcJQgnCqlKRigpHkG5txf828h0kcFOzsAtlBodtJxkHf7WBsTs2fztaHOD116oInP3Hpr87Uj6fkVH3x+z5Q0VjuiUWC5cET6moollmGLVDF8gIrLWHgNX4KUjuiIBEMSf5ieexviKnsSOiFAa16gamvroRIhOvn69ZrTpKMkK7lALms3KMACb6Tloh0IEetmUdRtW6OpyQ30nOwEtMOFkujruQRhkMRHyZIv20mKui/O2CHs76Dfu9aq/GmwPz0/8HLT9nbDbtC6znDpeAEy7za6ecovQ2z9q5ypqhZosYP37I2NJz6jjiyEvuskPQkJtfEPUrSXJUGcn6XzzwliS89/VxVvBscd0MZ5U8lHl8cd148jksZLoZ/9VjUyPPZF4pv2ZHbVx/Wv6OT0KDo5+QLCnPR8Pv0v6eT0H9DJV18A9dUA6jenk59S6f8SeVyJ7G/Lp0+vNBYWlB65FwjicuLzMshUEKGFcvaJx5rmXcnrwuR0/MOBy7ysqOhzkCbq3Bo0V860orJzv4wcjXlifKKABLH5GBNFowg2ZsVrkg97jygHEjV4dQM6iN6v/f/u/BCeT6UmDwZv1aNEqBxEVuC6i/LwXkIng6IgXXJVO5oLBOkO3HKtkZSn6HOi+RTQ9FrefRWyJafSzogc6fbjp4QuLy2FcDi0nyEaw9WILNSHGZzuDxyu9AkbyzpyCjXwoQ6yn1FZ8spVWZC4jDZsPvdEmG/JaxL4wcghJSDKar8nBb1PUmIFyk1D1IRZrvpwhA8Y/uuHgNr4tY/JaWs9jo1ta1USOtJab7Td/gmOe2FDzRIAAA==</properties>
</file>

<file path=customXml/item5.xml><?xml version="1.0" encoding="utf-8"?>
<properties xmlns="http://schemas.myeducator.com/properties/myeducator/atlas_meta_I9WxgiM8HR2x">H4sIAAAAAAAAA7VXW08bORT+K5afipSlSaCFjigShJJ9WHV746mpRs74TGLhsWd9CWTZ/Pc9tmcmA2q6CG14QGMf+/g737nmgTJrxUJVoBzNlJdyQCvNvQSaPTRfufLVHAzN6BD/TsZHdEBrI7TJmXNQ1c7SbDigBo/i13e8BtayBWqg10JK4GS+JqVXhRNa4V3FqiCbLJlxllxrrzj5CMyQCUiJcuugToq6Sxktwum8NlAsobgNCJhhlQ0ok6gIlzN6ORqisNnS0ld4edxuGH1HsxFi5cyx3C4B0Gh6Uddo7mbzY/NjQB2zt+lxDo4Jid/0TEvi1jW8Z8S6tYT3M3ydc6EW2XBGz8+kOP8KEgpH3BKIYWoBpNQmrtZomB3Ez1J7Q/7yCATCFkOzw7ZlyBsJiIhQBFixJLqMkvYseXV5lE1PDs5e40vhtStNlHZ4vJCeQzzrtGOSGFiB8i0GVBdE0XbUcZpNTw8OOyXX2lTM9U7cCbdMuoSTQGaJGPKl0YlO/JwAzehWy42Fzk7CbPxeaiP+1ioAYvfCHpKP2kGGImHxESmJFLcg14RJA4yvyTypKBjqEiVZa0+WbIXMRFIh0VRoYwLFybQ5IMHBQgvGoSO2ZmyhXQlbS7buU4mPNhRZtM86VtwCn9GO+BQxWxUXnBNGJCwgOgvp4lCLAsM2Hm+0bs9/kqxo/VHjvdK1vkwU6xWksLA1FKIUaNsjV91pcxvDslH5WstzDGeuRZedS6G6oP0nRbvgYeNim1rJcfHJkCkar2Acj0f9JG0uhVvbfP3WIQ3xTtBfIc4a6p+kLvnWHJl04valo5DEzPmQPDHlSwA+R7Jx3R37Q1sXC0dafmBGAWI62gw6cJe7wMUA/Q907Zn9wZvsgMc12EcJ2obQU4xLTJhO8n+ju9qBDjNGIL4VkyELQp36PCIMk6kS2AowlXAHgf+c1atQpr7EkH01Oc6mxwf7pfjD840Yv8yIN9n0zZ6NuH6+EUcvM+JtNn27ZyOmzzfi+GVGnIQetw8jQluH+1A1J1pZZzy2kdDKY/Vvan5bWTSuqzrgj7286X2xuybrYuEP3e4QH14JDrqtzPeVjFxV795JgUKP1JRCglC175VvDjfKCdluxFrWSUHW7bcBWyNcCH3aS9Zuc60gdIMSAQEONlqVYtEKseiE8p4WiPYr2+qujS5/7+nH4U6U63b1mF4LzncHF15wpopO0c3P7LLYsP9UE+ROgoMO3i89Mx71XBMi6snIgY3ZsTmum1HskUuCL9Lptnk33ZiURldkPBwd/4b/ToObGo6bSW9ApS6YzDmsOvR9e+MixwEP67Kv2t1CAlN+B3s4ly4M41uum+G0WfUaMHqhwCzKMV+Q1TTcdv52RhT9rafMG6iAC4Qe4872Xg8P9m+GQEi5kdIXP+C+jtNUXgklKl/lcfLIUWEzwCeYn9BqTNvezm7vtb8V8jjH0QxTC31uMdkBh+8tHXGoDuO4ZLUNdx/oMJ3etMISQeHkE2Sbzb/nejnflgwAAA==</properties>
</file>

<file path=customXml/item6.xml><?xml version="1.0" encoding="utf-8"?>
<properties xmlns="http://schemas.myeducator.com/properties/myeducator/atlas_meta_I9WxgiM8HR7N">H4sIAAAAAAAAA+1Y224bNxD9FYJAARsQEkk2WnXhGLDkGC1QJG6dIA9VsKCWsxJhLrnlRbLg6N875F60Uuw4bW00BqIXLckheWbmzAW8pcxaMVcFKEcT5aXs0UJzL4Emt/VXqnwxA0MT2sffT8Nj2qOlEdqkzDkoSmdp0u9Rg6L49SduA2vZHE+gF0JK4GS2JrlXmRNa4V7FirA2WTDjLLnQXnHyBpghE5AS162Dsjqo3ZTQLEinpYFsAdl1QMAMK2xAWS1lYXNCx4M+LtZTWvoCNw+bCaNXNBkgVs4cS+0CAJWmlxNytRBlMIGlm83HTe//VeFi+JkGP+5oMHxIgY896pi9rhBwcExI/KYnWhK3LuEVI9atJbyaIgTOhZon/Sk9PZHi9AokZI64BRDD1BxIrg0Bli1IpouSqTU5GB8l49EhYahyEBv2Bz8Ty9D3JIAiB5OjZILrM8CtQISyYBxeEYWjEi9OXuJN4bYLbQrmtitkJdwiDp1wEsh0RzUy/D3eNqXbE86FLSVbE0YkzCFCwgM5lCLDDV3gL8gb7SBBAWHxHimJFNcgcas0wPgaAVdAmEXUOVlrTxZsCcRGkyAFmCKsLI1G7jPX2Odr1PxVZdJzqOwj2Qyk3WpagslQO3aXrbW667hLybIKq9Ml6p07ovOOEfUSTBzaEjKRC4ReYRXVcSttriN16iNfanmKjONatClgIdQ+sT5VkSU4zp+dbWMg+n/HTRFFoLcWgZDJ4LibHOoDwgnbIHvXgg/8JOghpR2awWCwuL14I+9qkUm73Nw0DJHHnA9kj3GaA/AZw2BLaCv2m7YuJqxq+JoZBYhpGMK+Bje+Bxz6WCDPl0x6/GPo9y/APA/e/qMy/F1gj/4D2KMO2Mk9YLmGyoy8jpEO/fax1iJ2T+ax7Xr+L6ASZjsx8lXIyQ9PgP31fYSNmeoBxjYyT8eCi4dMK+ok1GTKfYwLtHO78jjGC2UIbkIimWhlnfFYWRgpRWs6XWU6U2UzW2cQnHcMvfh56Qk1Z0rforCxU3rYJDQLmcaVvzweiqkPk2FISi8Q4FJw0E1SuylkNNZ6PhwaXPQYzrmQIFTpO5mPw3vlhGwmon/bVZBl823AlqgWhCLmJWumuVYQEmmOKgCWba1yMW8W0REhDVYD1O+Kbc/GypL/0jkfmy+Rr5vRrhssON8Kzr3gTGXtQe/v0stiKXurJmhJCQ5aeF/04OA4EOzp+4fRTv9wfpScP2X/MHp2/cMZ58+8d4gtbZWpxjutw+iftw7jb7l1GD+n1mH8fFqH8TNuHcbfdusw/t467LUOo++twyO0DlsXBkrNjV5h1UKzf9BG8hXaKqR+26b+FZKIG7EEFd5aOBTBYxmWVle9vgRvfRCK65Ulgz4xkKMVF40fZ94KhRwmBTPXWJ1IuNOxGcZOXQh36kxbxkjd3XSA5EYXyAsshEyGXQjE5yxz3iB1yEG8UHuL8Oxh4CGKmHhIWI6gvXW6CKM7SWYblkXhplOtubL7ltOjUmdMphyWrTO67ouDFFswDD1fNLOZBIR8DxlKA3PD+JY69RtUPWqCdxRJlaFFUyxZSJLqDaulrzMi607tE8lAAVwg9BhGtnN7uLC7M/C6SglVOsIPuCljx5QWQonCF2lsQVI8sH5qrGBeotbYMXVm7ksno03zqpnGXo0mmFGQwhaTLqSZ3pojPpuFZzfJShv23tJ+Iz2oPjaNVI7okERBaLP5G/U9/AlJFQAA</properties>
</file>

<file path=customXml/item7.xml><?xml version="1.0" encoding="utf-8"?>
<properties xmlns="http://schemas.myeducator.com/properties/myeducator/atlas_meta_I9WxgiM8UAba">H4sIAAAAAAAAA+1Y224bNxD9FWKBojagOLrYcbtwDURy3D4IadDY6EMdCNTurESISy5Irm019b/3kHuRbFmxUUctAjQPzi6vZ2bOnBnt54hbK2YqJ+WiWJVSdqJcp6WkKP5cP01UmU/JRHHUxb/j/lHUiQojtJlw5ygvnI3ibicyWIqnP7CNrOUznBCdCykpZdMly0qVOKEV9iqe+7nRnBtn2bkuVcreEzdsRFJi3joqqoPaTXGU+NWTwlAyp2ThEXDDc+tRVlOJ3xxH7weYq0e0LHPs7R02I0bfRPGgE6Xc8YmdE8Hm6NLxOfugi1LycNfd3ae7zn9sRL/3lBX93jPM+NSJHLeLCkdKjguJ5+hES+aWBf3ET0+kOP1IkhLH3JyY4WpGLNMmvC1hj2Uclvk367gjVrQ3MKcdl5btDXvdeNzr7bMpYScxoSwZJ9QsbAuYD05e4yJ/2bk2OXerGXYj3Dy8OuEksavowh/LHphzFa2OOBO2kHzJOJM0I49OV+DFbO6Yzh679tJSGIbLyAIhgxNZr9usvtFmERzJuA0Dkk8JtjWemGsj/tTKA+O3wh6w99pRjClhYYCUTIoFSUCShni6hCcqEBzXiowtdcls5WWuGC8Ko5FA3p2Vw5/juA+SJ9WpThewPHMs0UaRuWcx09dUQbYFJSITIG51B2y+Z2l98mstT8G1VIs2/+dCPUKovxBmLBQppt6+XWVAFa7VugqH57bGOaBbr7+uDfV+f8Aqwy5a+J6WDE5VOpiHTHEPko1d1EtG7XRz08CnHXel53hI0owonXJkWhy1y8bauqBX1es7Dh8C08DnfA1uuAUcoiPAnmsuS/zHEbEvwDxDcrLfKtfvEuxoC9hUU+VGoRJZptSmy0Ogc1C+nfna6M62xTkk+xOBbtZ8bed5WaRbz/GRVtaZ0uclUli16DSjW577AZ8zV9HHoH2B6lcRm0E8IFp7QUN6Gxqy/0BA+91e9xX+/HgAaNciJd1k2m0ug59ufhgsvHklGJYJSUIV5Vo6pnSpnJDNQPBdO0uyaJ4N2QIGkddYZGMznGpFPrszqDWhiGiViVkzCf/7zKxegPsjX50Nmcp+WTsf7YDIls3b/QBYcmW7cFaKlKukPejyMbssv6Zf1UjnhSRHLbwvxq7X99zaWsmgyqIWSZtzVG3jBZ8zx6dg0l4lhMNBPD7e9zGGSsPjaQhXAuGupReMq7Q31HLLhofx8BgkhfxDRFNo96tU3ygQxjpfLVDOEsh6c5onD7cC1QCn+AuDOKNBcMv16hmAoRWw6Lywq5bngHQl+m1pBqbnl4qna+yaXOPi6haAGHmUkLgvVdsnaurgXyqpj9ZRbLWNLd9GTe23JXW4kr+NeGzW1KPNmjrcSU3tv0Bp+6tCMHxeTfXkOOPXAUlImH9SZPdGh/H4cH8HRmyrtZtGQEYdG/MFvcyQo3h8tAtDtpXlTUMCY19kw5t4/GYXNrx7tg2/E36+vsyIY18zdmDE+U66t6+F7udvtXtL0FX4QHt1Xqu5deO2pT1r5DzTUuobXzKSWn/jSpQ6q7TuhMTohB/HgV7/93Yv7u2O1kJ7cT9wKMdBiEAnH0MfG8MLkcol+ga0GLmYmfrXJ1oKI6alL5+DwXfNzu/tIzywSC4K8T9g/sIH1bluG+tuM1CDrBNorXD22mmeTsSTedPkgUbhpHbc84xlRufhLs/P8GuAnRSnjYvq5s8urJ+WWi8qlhoktmV4Kvy3NqNsQ9JNa+qJ8JnGs7Gm0saHoU4kdcLlJKXrNlzrAQ4vE56muLrMm9FEElflFrqgjYX/0xW56s9a9VujSseBdgkEZQJ1Bo2qz2ItwRG4ZH3oIdUM5ZQKQA+JZtdu9xeu7/TMr8SkUjI80G0RmqoJftaJvMwnoYWb4MD6+2UF8wOsBr3WRrbp5PFd86l0EjrUKIYWgeQWgkiTRK/cEeLqP+RJXli/93PUbVb3qoe7ZlUGdOgl/aK7u78B1zVZNp4VAAA=</properties>
</file>

<file path=customXml/item8.xml><?xml version="1.0" encoding="utf-8"?>
<properties xmlns="http://schemas.myeducator.com/properties/myeducator/atlas_integrity">H4sIAAAAAAAAA4VTy46bMBT9F69BAodndhm1i7abqmo1o1aRZcx1YsXYiW0mHUX8e21ICFl0hg33ee7r+IKYltqgNUrSz1m9QRGyTB+BMK242Hn7l/r57078/lme6sZ7ewtm6Xz5+v3IPxlXv9ycor07Nq5//hEw+6YT1gqtZvfp+A3rX4dN792+ooCWMJDSovWfCzoaYHtgB+JEB2idljku8ApnSVmWH6AN2wi9Uila6nwAWl+GCFFlz2DspHS67SWEOijxX4mx72CSVrOUzVKOPKCFUw+KAeno0aPM4SPgLWOh5EsFB2UIbXcdNW8h/3HgJEJ+5YqctTk0Wh/Iq9BybN87OZUWImSo2gGBVrgpoQOqiAV/idaSBtwZPMBDkOqljFDAJJ1QvYMp0fhRhPHF71iPJjLuVu1GV7B4eK4NkFbYo6Rv935n2DSPkKP24InRK4fW5aRaYvf67G9QDtcMp3fg9mDCDuZpxxsmlBe0ZmncVmkSZ7Qq44qvcJxwyrKk4BUrE7Q43u0E8XX7138e32/6PpE/oOR/qfzuA5hnso66PrQZLGGZ0wK8NBFcKB8RCDWWyJOUNwVu4zyrVnFWAY9pTvMYGCsZxzgvmhrdVrh4ERjXVYH9tvdAjWuAhoNmizYUDcHoycsjuSW1jszB88NK66rKk2E7BC4w3XWgWk8HLunY7nb4ByctX/AnBAAA</properties>
</file>

<file path=customXml/item9.xml><?xml version="1.0" encoding="utf-8"?>
<properties xmlns="http://schemas.myeducator.com/properties/myeducator/atlas_log_common">H4sIAAAAAAAAA+x9iXLjtpbor6j0aurlTrU7BAgQQNfM1PO+tNvdtrzfpFQgCEq0JVEWJdtyqv/9HYCkREqyvCbpzjB1b2KKJHgAnB1n+aPeiVv1T//+o67qn9CHuq5/qn+Jg1FH1xz4h2G3ttuLhpHsRA86qH+oD+ExRrGHMRYeFvxDPah/6o06nQ/1NrzruMglAeE8RIQzJDzXFa7wRagDwT3mewL5mEjPCXQQugGuf/+w4NNro6gznP2Yyxz7sT/qXfvU9K9mb9T19cB8PoXZvBoNzSP11X4f/vv9ewqexi6nLkUAGtbcw07AXd8lnnYxQy4WGiPHCyVnMpDIc/0Z8L4N4r4eDCOd1E76gRzOrwhMOQPyZqSTYRT3zN8R/FLfFWf3regL3znC9/CaGmg7ALxMBBGCO/A++2CmFIVRfoNRx8Oe55pR5VCawWSnFQ+iYbsbKXN5KweR9Ds6SbcBJqracaTM9R/1ZjMeBHrQbMIW/25uxb2h7gHEdYAAvhNGatQZjuufzNJGSb8j4W8YQKtr88BoINMpwG3d0V14NR02jAddaYYZBggebA7ieJhN8hz3HhpstLFv1qZ0OV2I0jNtmZitoUIwhTGHLfF8RXztU42w5Bi5ihClGaANQZjBG4PYbG2KdMNx3+yMmZiMeoAEZv5ykFiYO/pWd+xfyXBceOc+0Tf1Tyuwq3ewPumzfTmwK5M/Moy6On3GACgVLHZdBpz6AKRDQ+RrpDDXWIfccdzQYywMfV8hKYIwm1UnNi85RGDfIwK58I9QmFHGiSOD0EOIKgoIGDLuKc9A3pFJ0uxESQaHQVt9P9SDnuw0VRzodONaA2n/1OO9tr+toq/R3tqXqxPcQCraX9/r+N0vk98Onb2N/ZP28cHx5ni353z097eTz+1GL7o5X1vZPT8cnVN3d0PcJOfDra53eSOjjfBy1du+66wettT+57V1sr6z1lrZ2b4I2ZXXkfrycpevIfpwsXq3tz8K6ZVOXMLDC6CXLXz+cXt9cLC54nbPsbrtnxx2g2HYdg4/3n7du/Gds9X7tYPx0eG+53N5d3D5VY+Hq7vN+1t9d7Z+4h1+6+ypO3RAnftvt07SPN67O7mMVrr087ePd6d0V5+jVcTlJcH+5kB9Xu9vibuHSx1rzW6aX0N9cHLfX7kjsESdqBsNLd3mzKLAG/pyqAzKrf7np996NfgniKPhp5pZ8fT6Ngp0nP5gHo8ji/cYRhvIXhB3gRfWPw0HIw2I1ZN9g9mtkcXtFqZOwALsCSV8QAx0b+gjQ1I5hP3FcH3jZxDsinC0fXh9v712dgG/J1ql9FYHxpO/pfWKfRHuj/qdWJrPHMO3zSP9gb6N4lGSo21/5AP2tPWEJ8uBake3heteLx5aok4y/mkIpH6YM6sPRX7yx3eDgICSUavXLRBHxnWBgQXjyTqoeKAzHM34kJmg4MrxmSShFzoOCTXhSlGEnJAFPuCAI4CvY/iF+yp0BQ4Xy4N068gyUcTwrChiPkE+AZ5KQmD61HWJZNLBNGTMcULPJz4lysWYYl9yl7xEFIEMeaYoIgVR9G291mhH/ZSL5hIppAp7kiP4v/BJALyFs8BlARUB8oE9YOFLFHIJsyC+7+uXSiSGKX1aIrGDxRLJRc4jEomwn0siifXjAzSVSOnljETKn/mJJJIIBZeuBgHiEelrpRRBUjuBIo7LpNaca4qpW5ZIIIlIGLpahEwo5gREOQgBvwKpJuEF7EoWhCLgf41Earobznq4TU/bx6dO40rsu6x73o0vL/dbh3vBNjpudd2dvW19v/l5o7c5GO72T/jwqhF3Dput47G+GJ8encbyhIuu07r6IoOLDb2533L3+wPPazRWmh/vGoToa4k52e+vrNyvk521237rYzT+eu4nD191dLqHV9e+jS/WJN5iu95Ra+doz0Or3YvtZHT5BSdRe32fnzajxtmO3znSCjWPhjvqo+/e7ASfv4Wo370JN66Y11252tObTmu8fg6wNeTR1tbaxWjzMGwtk0jkDRKJP1siUUBXRbxKIoUOQUIHQSAd3ws96SERUD9wFFbSdwjBzAvcQDCj0XHls2USiS6RSAwLd0YiqSCUDgWRiAOHIYe6mkrH9TChjvB8oVSIqYcRZYpp4TLv+RKJuYw8UyLRgkQ6Gcp27VvcH3VSrpoLJRCXoMU6Zgo+FT5Sbugg3zeYJHyHC+wwLRF3QQtmrgzFi4XSVIA+KpROVn35iFDC+BGhRMnPJZRWW414bSqU0ssZoZQ/8xMJJe3rwAcANQ2ERwgToN35HlMSg+YnpM8RdzxpGd9UKGlfCEQQgVdQAIwqRMzVIdKKC+r5DIESRB3H9/8aoXR07rTWD2+OLr62vjY/M/fyZHNMw62t48HexhEOGy2/3XDvuuvNhIsdfbZzfpuob4fHRyftPSXGg4cVdnNzQa63zm5u1g973TZ9IPurq94Q34mx+jLUH9fjm9NWt9Xvj2/Il+F665x1+/27j4cnWm16O9uNta+Bo7/cX8rrz4ObTrjTW9vw1vadoH/ecUfdXnewH/C94clls7t2sZ/geDvaOVSX9x+PP8fi8+rDAbpdcfs3a1/DfdT4mqAdMR6Nzxtn/l6vf+QkX1b4WbJMKNE3CCX2bKHEuI/BVqqEkgZtXyNf+AFCHkEBE26ouBYMLBYptAy1Cn1gcEHg6dDXdJlQwsuEEhDTjFDyqE8IVV6AXUEYVX4oFBhtCAssiQarjTEQigCV44ec0Efk4SKhxB3yXDMJF4TSZjBSM+JICgcR6osQxBENMRh7hAcSDDwVkDCgITBFFHrE88G+U/6LvXbcpd5T4sgLL64f8dpx8pjXzvm5xBEdjFt0Ko7SyxlxlD/zE4mjQEofdthjHnYU0BnhzINt00S42GUO0FmIQubTkjgCi9ujSKJAKuwqwC8uPCyDgGMmNBOgarjEF4H6a8TRyohE28nu+c7RxRfdIEqQ7lYbnx/T/S65DraC1dMD93AwDPVNY5Vcu1Rx9M3vf22KI3+/FQ1XlHPQ2/C/XW1vnVydnO/eUXIh0PahMxbNjcbu+NvH3rE6cu82v3zdPjwdsvatM/zydav1Ee0f7+wfbbXjh7POJvcu5aV7YRjE6f4xvT+R1/hsdNqNdqV3N06iz/H9lX+uDhBno/smcC0tPgpX3ybHw8Nd/NkLnVYY98cHbvL5zL8iQTgWTvBwsd01YtC9XiaO8BvEEXmuOFIh2AS8Ekef6kwi6ruSgdnouRR0/NB3wC4ioRKuAkHleVJSativch1GZw2VxlAOgEnWVoMg6q3gWW7rEZ5xWyA1IJGUZmfuJ3pwCyxw7p7RLuzCNhOYghqOBlasAEe49uP4umn305Fg2AmFVgKOnBUiOVvhoYtXnFAq4nghV8ypT1Ykpdx/FxzEU8N8qg3liGgYcgpA1EuGsqd0+k3qoND3cLBCCXdXCDCVFUklXdFKAWZhsOx8Ube8PIxaExadbia8noz8bgR7ZndT9iOzj2YXu8MiB77pf8bxyfXqqCyK7Oo43EVs5gApWzY3XfJcFPWSOz1Isi/cyqgj/agTGYECgilKIt9QHjBXEJupFAlG2SYAH0TErIThenGSPhZokNgZcv4bJhT1RkODiIANIHeVRcEV5BgcmdzDnDvF27h8m7i4dNst36bAwIu3Sfk2w07pNi3f9sDidsqwOd9/NwwmSTLJ8m+4HPUAPa+zi4G+GUVAKsBTgK9reCuUnUSna9Q0mJf9YsQ1qF59o9z8Aa8lIKkt0Vr230x/yEkySQllcmlwYFj4wb5T4AKTfbMi5iWiHYyHnc9T0Z5ezoj2/JlMtCPAWUKlokh7oRswAnabIAEIQ6Z84rvCA6WRyUdEu8HclYwzJu8k3hOYshraG4slPQXgkAv6hs8VGIuEg2biB44T0jB0XalD0EtAgJclfaBD4BCBCgXcZhpeF6BjOthBypcKSYeBPRp4xvAsyJFs+xfJ/lCD+StBF4P1nSBZtrkFwTT9JVc6kyl1Fm8Djx7YeS8bYwgaR/G6E/UM7tbbIBStIv0W9YOtUm98EnTa62td9+Sqsb5x095zti42d/zV1eNv7Xtv9+zrGg6a65uD3sCj6uYza94FX0+3tm7Q5ufGug62nZ1wfHnXvDvY3vW+BeOd3u3RTmdHCX53uPfxIFq540en21df8c2OHwwaJ9vJxuHHljo4vGl33PvPF0681kQ7/u7RvXezMuy21SY+dk5GB5ctRsP1eP/bePtkt7PRbnX4+vXXJLi89UZnon9xw2hvAx/vsV7L2+Bbu2qPX3Zvgd31z7+g4UHrvulfrw9aux9Fcjs4J0O2w+XR7cH11ppqXX1dRweX5zeHDm3ctwft/teVy7WteLc+S5mtQTwCfaK+r5Mk7tW8T7V1QPdh1DOO36hgjRV5NefmXirF0s2v5yqQRYSpRMjoBrhRPErRX46GcbbVn4C5wVtJE+6puKubRnKCJdEcDTo5fOZ2Eo8AFQMrrLJfh5EVwq95NwYI2qA49JJRF8T0tR5P7qRDJZnt0petqDcRdkAO8EMqNjLm4IMYu57Qk+4BJ1N6ykxzTEeGpRv6iww1gQLOPYQdV3BWcoI3JywnHxE4roV+wshTBgz6SjzqpatptaDJfGUybI6snTjRicwDZjNTjh53Rpm+15U2kiMdCH+fzGnOiiurjL9/KF+bzc4U0owfl/RLQ9qw1J3YcIX/s2X/gZ/9dPjJDeB3IPfMDeA9BiN7wdzN74XAmCQBbDUSpNZIoa6h+pTHknlbFxQ9MPdK7Orfs/bxTJDLzAljybf7+yJ++riZ/IdhYmV6yRluCnNh653HNHyJfIW1NBo+rk/pNl3wq2h/0D1LN3RgdJv094O+unXbe0Ytg/FvrZ6Ub9H1ITvrT97ojbpGbjLHGYDJKZXxX3cBnewu5UN6e7dDdXzZCi/WZ29P3zcb9ZRykIy7/XbcG5d5+u7Jwy46iPbER/jx+uL8qL171We7vQPqn6/FPqb0HAsUbB/c+menYbAtBpdnxLzY0Sf9+OI6uJInot+47pzq6+v7427n89cGtffOjg8aavto6G+sdU7x/aBx1r+Vpwcn/ja6Pj07alwc7zkn1+T+cifYk+dB/+x4l345Oxgdd+/bp2irf4w7nxvX4vzsaqvxZePUhfEudXdry8edL4dOfH/xsHemz7bOT8463+RJ//MxCnpftoLBcW/t2u+tjU9PAbazy6P97uWu/7C1IztHx8fbtH86RmeXD3tdebz1Wa2jr0fYGZ5ufHFPNpR7vHWwdfgQoOC035abm0bQPegzdCe3xUifitvg/OjKx6hz7p6O/fVdb7fbdoKdtYevEb+9OF+72+8ienl2hC7wluO7u6MLLIb77nQt9921W+Uehco9jfyzzoPCnVsfFh++g+TZoVnXva9nl+gIbQ0k2nRP3VUDA1L4dDy933LOrg/6Qa8/ODlTUXj4sbF3vPeZfU5wL7452N3c2Ovjq93ocHdj7SgY6+YJUUcHUbK53/CMgMkRYcLFh/G1UdwfRYv2hXvUD7odR591rnev4qhx3OkGJ8GRxMOjAxTc7UZ3EUwVqd5BpzQNh95duBcPcjN+zjTCnRhtXx039nvR2cppC4cR2uuvHGx3V45d9o2x/cbmOhuNLmV7ddE0rBCqt4fDfvLp119lv/+xO9bWORgPPsITv+Zv/NqPgWeXLKicyx0Dq6pdAHXVGtdRp5MUJHNqJGc8cJ6kgef3dTM1wIyGvL/TZ8nlxeYXc284CuClwl1jmPXWzsR5/mZq500ciJfH7EYYFXIEIrZw73zvWz/cGAzti+be9NfV4ejsaFY7LLHbykdZ+SgrH2Xlo/xZfZQlZbEKk67CpKsw6SpM+udnZmDqVhG2VYRtFWFbRdj+7MzMOuqqyMwqMrOKzKwiM39OZvb90XcaRYdhp5tM3XL8enh3rhtXh4jNDDh7cPP9OV7Ex3yBlpndT96aHjQs8z2+3IHYgvXrNXvSsIP6QXQdDQ37DmU36ozzn7dlp6Nbsdkj3ZWRWZ6efbKV3fh/LfOzcbuag5DhUHf7w+xIbbk3NIucSNIzwhTnJr/1B7EamhOq9Ljv+4cqALNyblbOzcq5+bNLHRuuMQ17kC0dBfd2YZNFR/yJvQvkdLOI593kdw2vyccBdjoXFbhSfHFlEv5Hid2/RUGEf9IJ2FSyzn1xiaB954OzR8SrOVof9fvxYDjd3SywzkizYvRWHouVB3vlgVjZdY7h2WX6sewii7+axAQO71dHw7YN9dB2ZdKg0TF6uBsEY3yPfXo1CMd3162r8KrT6rIuvusbp0JfD6ZhQCm8QDPfBrGhtkEaxFmK6TWRObA1kUrlZPpjukJTSVJap0IgqcMcF5uMD29BIKnDEfXoVKTaUJmOHPUMURaeocyE0Zifm1lsjMtSguhkrLgfZZG7dYtLg6hvo3jVKBnGXQNpJpOBh3eTJkgR3bcQmlgnuEoHncxjP1wPnqe4vFAVWoKrcMusabaebXK5Ht0+XB/agC8D8RC+lC8+LLAhlghwIY0EjUf9PD5qitbNRA/TiJoCbv/+KO85MTsKAzTjfiF2sPioZUNFsilvf048i7bfw49sP0cFjQq2BRBzGjtsA5WGcTPpa21QIkd+2Qc973b2E9zeSOEucKE/6v4o6hg4k6FhqGZje+aP5uzw6eJmN/tylBTCxvJAoXiwYMTvk9i3+RuGlPSilyZfCgHt20paBciA8L0Y8vvvP+oZGjXg27odG6jMq4FlFvViPEP0MXsN1C3gI+Z5G9ZQ+vXXWzTzA7Ag0L7qWTjSBMlgvFTFrvNkHAf+ynhvGG6shGLN91x+ctQ/MQSQjmHQbBr/tWl+g3vTX3ZBvc9/3TZaU37xRQeRzC9OI32X/91ImVp6+buJpo56t6BPZ1FzXT1sx2YxQYKZRQzsHryIfcSDluxFD5lMrX8Zb2ahILWG0SVS9dbOLJNNhnbyMJDGSQ3T2spKbbdRQ8gxf+2MQJcA8JL692dInnmuacIi2zKI76bi4REyLwJU4uaWASzhMekIk/yEwjBLeMJ6OlhRtBcM16ArWdKbYQUPXG6tikWsgLsuc6cUPxc8iSbBk2gmcjIbARgGIW4h7HBbD030TS3LEamn3kYLGpgqgS6Bdni/s83JPpoHDQQU9yh9A2jUQUhQVgBtXXc6SQ001dpZPLgGdVAPk9q3gSEzpYuAnm57Li4B2sD84s732TyglArkcvF6QBkYSYILXgB0y5qRdhmnMDcehVe7YpUWz6TOP+sDctwP6dUcvMawwpSTt8ALhpqHvAK8jdhGXFkwt6IOCHVztQjSL62N7WEZ0oCdKqo2FkAqAFDsLIGULIeUI3PQiYorOx8utnmvdKe2JpNIJQVIQ3K8/7mEA0fXn9vd0ZfLzzOQIkTNR1yEX7umyDU7Qh2TIzOB9EiHIBF6IIHtsq7LjsqqOCzEgfDb1ZEsBlmcn/jbZM9l3WQWXviaYBiJV9M9jACWu0CYFHFg1O3KwdjQ/RD4GazmQgToie0yaZ34D1vHm4fqZh5Mj7ncEcuW9Tmx3ROiinqyp4B517ZA9Dy+kNH2Se+kBKFqf1kfjy7deQgZ4QSRZcSPly4kQdQllLloKYoadgB7nyLCBPgCzC1xchmUVvX0dHSw1WJzTB9YFXIFs2Her918jgTzOBMFmNdikM2yt3xlW43zcNwoQXnev/ki7z+vzUPpEowcxN8AJaGEwR8FKHfDJwCMd3r3JRo6vbyJ2qPzq1m+j0zBMYIZ996w9QwzkL546dbnC7sftyJl9393ayEKtL99u7ktZhic+2qdbe5tH45nYWeUEJTm+L1ycWEEj3PsFmUAqCVBZKB6isDaI0K+HJQhverd9xM0x1nhO4JT5LE3QEo9FwSBu4izLocz2t/ePi2pK35wOtg/6PdO5+E0sUzCfbW6Av9jiGDYmKXYUFxjgwsLZlKcQNw+fShZheHh1s3ORuvobnYCgnvIIS57/ULDCJ7jcKeob23AXQvncdR9YrGvjs/6G14J1iPGooOt69lMWPMlASqIWLbYy0lPcMAIWHCntNj3wydAXFsPiSqB2Lhg8fpZNKu7wAc4dajHXy9hYYLAAz2+HB/MAn+wq/shXefSJKawH4lb2RuXlvemO7odf7nemmW92AOl2Sj1y2B/idjdvJfdGirrWbVhXAjTn65wfD5olfjvTY8MHuLbjVmENVAy7GCGlkDpLlthsEUd6lKPlHlYZ9TtpaAtxIHrs894db8EYYzW9vDD/iyXNeMzx8PuqzVtM4JgAjslLWso1bUGdfBJSLc3xlvlHY8PP68dno1nZRl8ByHzr1frr/ZlyuHfBUi/RXoZeKkPughewb28KPN9qRB4CUIuyxixHrUnHG6ZZyl1ZTZl3+SXFfxbH/I7Jt8TFS6rbK4qm6s1xYdR8ZgoP5EB3Gp2AZNkSzezYy7fcMwVuLGSusxWzNk6oHD29K0eZMcw+8e7K6hv8kOHoDROU3cnVSyyo7iAhG7gBGKFho5eIUKJFT8MxQp3NHewoFwivmCQMDaH+aYQRDNzp2cHr5l37pGPBjpRg6j/qFNvwWemU3I/IhvEnPoK+0D2QGGWGptBrEaG3ppDOWgZv3o9CgfGMbv48YEejga9pzPOUu/wr3fa/7Wc5pmdNTWnuzaN5sgzkJvmTCh9YhgHceZZbC46QjBJ132YZ5weVjTtuUXxyGL2gXTNZ04vZp8x57L5GLXFD9qAANhDe5YCaxQZo335mUrmdwXZk7onZyf8DMY6Xb/nOWzzg400vznDtD/qbX1vDqzRJhEmoVAblcJkjiPqCFDxs+I2lAcsJMyjroKRdeh73JeuCIUfKs8NuO96QSjgn5Bjx3XcZbXWqu4IVXeEKu2nSvup0n7+t6b9VN0Rqu4IVe7WDyqRqtytKnfrf13uVtUdoeqOUOXg/bhCqcrBq3Lw/pfl4FXdEaruCFVy3o8pjqrkvCo5739dcl7VHaHqjlB1R6i6I1TdEaruCFV3hKo7QtUdoeqOUHVHqLojVPG0/7h42qo7QtUdofJRVj7KykdZ+Sh/Kh9l1R2hCpOuwqSrMOl/GDOruiNUEbZVhG0VYfsPYGZVd4QqMrOKzKwiM39iZva96o5QdUf4SaRO5dysnJuVc/OfIHWq7ghVd4SqO0LVHaHqjvC96o5QdUeouiNU3RGq7ghVd4SqO0LVHaHqjlCAsOqOMIWy6o5QdUeouiNU3RGq7gjPWM6qO0LVHaHqjlB1R6iyuf5h2VxVd4SqO0LVHeEH7I4g0uI2X/u6BxL2WCbmaHZa2Aae9Mhsh4JieTN4IT/HNX9nxwS7PZPrWDPBF2mth05H9hMj3PKjjLYlSk085HkeplJz5XMhPYcpJinmAaXak5z7xPMDJhSWQBU/P8wNm9RtHZwzMHPMxdtgziA0gdmOzwjSnhciSR0pXY0wBpJGmvtc+ygQPiWc+pJ701KwPz+ECLmUvw+EsH8hlY7jEySBeKhwXU+H8P/AFA+kitCAoIALTVwwWeg/CELMXO9dIAzBlBNSEqyANnyQs5g7HIw7DWO5jh84pvyM9JjgkvJQ4mdD6FLyPmvoSLBWMFGcogBx7Pk6BEommsFiYgA/cMAmDalWjvFZBWG1hn/hGlLXeyMPzyAklPou5kw4PtALoZwxInFIHOwCq1FUUw7/c5xQ4FAK/nxu87dDiFMIrcJhytLNlAB1YcFNyIOF0B781Yt1SCcxZalZvd4ZmaIddowsQBI7KNculOZUMZ86GDFBmfYc6Unm8FBpFwUBDhyHK8dxwVDxHRU8U1ITh3P0HJmCSmu42e134rEt8vKEtFYOZhz7WIbwPxZq4YGyrzgKfeUBUhquyRDyfQ/xAG741cr+2Sv7BFURBFj/DnBnUCJKBCjKwuFaY8rhD8FDrlzgSYHrSRpQpLSHkZahS7Hmz4aSOmi2CvDroTQFHKXZZMY8GdKAeY6gAdKg0MsAA3yUg/qFHKWRi4BHVGv5/mv5BMUT10nj7t9O8YxzxyMqBEpXvs8Qk77nI1e7IDhdxkEQYEoQpyAOCNCPfi7Fg9QwScqL1tF9XB7ZTnJPEbvUfuCGPvAg6SCNA5cox0PEp5jSkDuhryUNPZMxioSi4rlstFrU1yzqE/REYZbOI/T0TJAnyqd2sOeZNofUc9zARVwp1/cUqKKhC38hBQJKhYGPnCDk3k8D4BNoSV1QaL0ZtEw7Ls6gZHYwUUBIwSZ+AkfApirFvFD62ASBcdDtgN15RArQ72DvCSHYBXXeB1n9TIRkoAmQRxCSPL54QCiiVuzU9SRyCiAmBnyUukiTELaMO24IuilzdAjGhlQ+E0rjUAhEAVOrpf3Tl/YJsmKIMu8Raf8K8L9PWjgIhgIwNrUGfYISkKUOCkIv1C4NeOBr0PZ8B0kQ/DyQz3V3/WTActAV3htYyRjo+EIJUJVoICVnIaI49EDNUiawjoG57wmGeYg87mj1zwRWgE753sCCTuq6jkMJx8IVpsEg4AFYI54y5BY6mrBAURmAcRUqPO3z9BSw2HH5I26d1wOriO8CG1Ohx8HA88GSYpSrkAtPmjIyjo2KAIXao44D5v9z/SfVyr56ZZ8QYcz0BhAzIqzUBHMiyb5FuiC/6MTkD5F2PZ+5XPgyCH3flOUmoP6ZqEqA1SEIMRfIKQBScgPnmfILFOC8XejyVUSzq8hfJL9g48HMV0QL7CHJ/BDEGQ39wKjenuea7NUgoB7yAiEVoc/Vuqp1feW6PkFcHGHQu94N/Mnxg6dD7FPlMcWABwDtG9C1Byo4IzQMjJdA+ggRBsaM/3xgAQvYewMrPC4lRi4RCGGwPYiHfOZwKmgAKhbYhSF1NQNDApszFPFcjata2Vev7BO8gGOPOewtvICHgmspzfEh8AElQDeBhQ18R7nC8aWnfQc4BXAJsCGVy57rVgWpIcQjW04fl1TH8VB2Ci0pnzQRwEoSlCrTLM0DUvccLKXPPeG7yvSr9JCSSmEf+QrYpvtcf0u1rK9b1idIyzTn4I+o3C+HPj8TUgqgCczZGWhdnOoACwmKSgD6N9Aa8AQuJPWIi6g0QQg/I6xPoKugyKVoBl1nm7tOMHY/6hVRFufeAsfFvgTzz3FdAATsGKKxLwT8G/YYyUCbNnuYBj51hQ9M63koC68Kjz3ixaKP89N0X2ws66hnm/c9gbOgoRJYOFC1dSg8AbpB6DMSgHRACNBY+1JoLAJmMj80dp+rbVVr+4a1XU5jrgMqI8PvBn4GrIcDPwDjXkgfc1cJkLmaEhyYuC7PJ9w00ZTKAc0hYMChZ1nvPwNY0CLYI4bi64F1URhKbFpsghpjvBfAvzwqmQLRQAATpbIuOewDwEjQZ4qFnwxYYnq5vTewijAwXTDTIAR8RUASIOYB6MhTriLSZR6os4IqhpQDuPFMt9EPBuxyTus6pi+b+1ZOS5Dru57jG94akpBhx/QrFMK2c0eOKwMmgN9qz5Oe74jZIJb+QK9Mm2pNYAPImEgX8t/1g7h2Jwc9G4v6e4ZsjquAaBV2jIbvcowlZ65i2uUmjV4poGll4yHBSuVq9sjX1EHTSbIy0LYuzcyXxcR2yvv5TGJc0xo9yyoXNJcVzWkuqgczrd7TLGZfTPoOxv1IB01lMs9twQtYMlv6rNSs0a6YMaOWjmYKRdzKThTkpZK+fyi3J0xxNpm2ZzQH3csaNf5uykHdjEzWW7Ob1pjKH7cD5m8ULmjxAtfTon5Jmq+cLnpxwllfxOak4+RtFHfyFJC855TstXRTB7aTl6nvrGXPtCeKe0HS9PXwTsMApYfSvBQzZnPSp9CZFMoLCmOVf2ratTVFNkytOfgFhg9NT89JWboc3mlbRprSel5cg6WXppxFfAd7YAjJvjGMW3rYTouhvKG/ZjLhOO5KtvrZf+nKdE+XI/ITKPkoKi8lgMmckqEcmmJg9pc0Ht0sgKVvg+CvavSZLuGi9qVtDfzP19JsKCmAkTHfNfjbIrfNUpo8PCGsNH3wu6kdYkrBdMEeBU5qytK08poiNggFmJtigQLlgjOPBYQYLYNSjT0wLhBTJojYxOZxUDhBAldMumLSFZOumHTFpH8CJp012rYtAk0tnXLvswJ5ey5LzzZT3DXf9B2w3lXghQTWyFMhD7iHOJahj02cvCMApNDlIeAPAKRng0JSfKml+bQzHxOkbGs0e6Oub4tnFaIU88TvQvTa6qp5J3/Y9I2Ok6wNtUk7HmTcZVJbLRVOxyBjalECRkpalrFYu7G+BfOtrQ8MtdkJlN7ckENZOzKk/br3M7pNaibjuNaRvu4kL3j92CzB8778e15lstmJTRUwU5Ngda24WrharSWrlfuvtJBaaAyYypHLKHW4I4XjsdAlOFRahw4xx50hIYHyJXo5nYksS2RKZyxgKEAepSZwFxOAQPFAct9xJAl9rWngur7nEW4qDXA+m2e4hM4YoXgpnbkFOstjxpbQmO3Y895Y84Jtm321LZNaR7eAZb4OS39ZJ5+2yb/ejO2/rNNP2/Q9xvE+bXvvMQ77tM2eOc6jtMCkY5zODqjZIASYr7TvA1Z5gQwoVQ4noetqDihmziH1NKru2bQA6ElnaEFLUPSF64OaTP0QBR4RJHRC+AFoMWC+6cjrukhjh6swCGb9x8toQcykCc7SAinQwswJ3jKxQ/55jHTR67X/+IFI+qXCrtqjH2GP8hBzyR0K+qpgHgox8V0hfdBrscTYdxT2fUm4R7yQUiB7TPXL2YrIgp4Kqqzv+hQHnvCxMn0FsTmP8j3uceyGjg8auA/i3ifKc6nk4gUilhMilrIVWmAr8+6Pn02hfZXE/RPVWPpXrZFRFfbJv94+DP20T99hGO/TvvcOw7BP++wlw/z1+58fJflAuEwpUMjB9lZEOA5oxi7yiXRN4hwngYc540xIItU0XLoygH9mKVcZwJUBXBnAlQFcGcCVAVwZV5UB/HPvUWUAVwZwZQBXBvDfYQBnbXRMoE7UWyFlIqag4uREbLuvzQR/ZPcTPbjVg7l7DiMf0t6LzbSXlm3Y9qYog0kro2XBIdMgD3NKngLwqsP9NKRg0ow1bZMEr6floY1Qkv0oC2exbQz/WNgicVG1aRMzM9sfzbU1UIr90SYxMuWGjoaks16kf5S6ZE6RJ6tJbZ8qfsDzuInWyUIhUjkwaU6bgW8ijrK+h8dtXZu4GWq2j1kta/ma1EwxXdNHyNySfjwa1obweNd0+IIfer2R7MAztgabKR5v89tGPT2tJjQw9fthjNpqVw8iBdOt3UXDds20woxHhp5ujfCOw5rOYfhYO0my0iS2yrvsyc74QdsvD3QWoQMKai2Lv5m+aWHIwYEPaSAu+G/5fhG8j/UsZCaNDrErY5ZmcQ3TbMHW46xvXE3WVF5FB5bMVlO3zxqo9b3sRj29YL10FnFml0VL1U4XobwG9SJvzwArQPYYm88xxZ0iQN3K2qwidLbfGZTZ6714WFOLuNNkwP2UH+WXmzADg3Ku4TMZcGuzwD0mbV8EoumeqBPAls7INDEa6PcBdn0W2EcU0hfBGsQ6XctssMeV25eAujG36fMC5WW7nr//hpUESXXf7VgI1a13GxVgsC0ANHAPE2JX/6+4Y9Hsv+X//Fcn+p8sBcFSssWMCQlMaTQlhl/W3E9ryPmXJVnzfIYC5oWMnDJC/2Xd/bRunkzj5eBnQBqrJA/zOX80304bok1/TPmQuUxX5LepszVtkmOH/61ey14axv2P//UrDGQn0o7vFgNueCg83Y4H0YPhosCB7qPkY+0gHupPtSisjeMRaBK3oFHnCRTm+ZlhkiIrs3j0+Ow+wJ+RYavA7TrRte6Ma7Jju73CS+ljMtFT2DfiEpbKTKeZmVzRtMrmBCtgmZSZNvzX/PRbPeV7CaxT9hPIo357Oti3Dmgkk9c7OrRI19OD/Pl0M2LQLuxl0tfKiswMQ7Kn7vJue9nIv8ad/3kKTxGe0lGBPS2oyvhqzr5Y1r2Aqa+9gKnjv4SpFxftZ2Lqay9l6uSvZeqkAGrF1OeY+mJq+mXD/bTxFHPPWc1LOfxJ4XOP8PmNbNf/dFZfmvqfw/BNVLi9+w/m978vPjotGlAzQ5h5n+bdQlBuhB7MH8nOcMnJSN9gLfO4/Sz7o5llfyzK83h7UsQ0n2Em+H82WaGcDDCb77EwneA5eQuPJScsyWd4Ms/ieXkV35ckCMwmnyxNGHjvzJcnch4WprHgYrLKEzktixI5XpKT8eiqlbIjnp3o8CpPy2uzI56b+/EST9ObclQezzb5/uS7i/M8vs85kCZunMxx02zLxFYCcJnPfcUDJ0DKQUJoDP9CyqPa4ShgWGNFA3MiKRhDppsFFYIh6VMfh5SbuQ/iTgeAfbcRzQ7lrqudI3z/iOsKPcd1xZBLXui6+i0rZXtkutaPjL2WurAydSXzGtl7qR/KPh31UrF2MzKu0UEtHMRd470iK8aF9YRbqFyPeIHtkGQd9mYtB9j7vlF3izANTS2Ygi9oDITwD/D+/AgK7RJ/T8mV/zovDxjnnVGgJ/bzO7p4norSeIO1ZfDsEFmjKxPQNfjFOBreuMSbSyexIETkrZPAf8IktpZOYkF8ylsn4f4Jk9heOokFwTFvnQR5t0kUTNCuEJ2iCWrrxi8wQWs2b/y/f6v3pTnean1yfqs/bpaaK8Nhkw/2z9B0mstkQPJhYpYmEnhvahHlgiIzS/JnrSkLCzlrY+VMIbV/jEmY8/kUhqhXsIF+WeOftvm/XmLAlmRdzR/XDlOAfqtPRzGnJ/k8zfHHEhv1OXbk44ZstsnZ1J5joefmdGEp4aPZEiUwv0xyghTPFz6VodMhVoNgwnJhHFiuQPcjNUxKAn2pPfo8QzTbqtcYohgVDdE8trCIya8xQt15IxTNG6ELdclUr5rRJSU1za4EooSEUruBp/yQSsWYLxBiyKeKY441QoRq5YWu8k1rudDjtipdqOZ1yTePWNYl2cEjuiR/li4J2uoLdcnWIL4DgoOdP4sHneAuAkr+tl5LJtU674CcgoHps2loL9BdwzGy5Ta/GIQ5i3pBfJfUkAOIHQ500s5RyR8BgwSWWgP7/RoQqma+mWqrmcelVBp0gnkTXXYKiNVXE6CbgSkkuA4j9kZg4pjjd8Oc7AfjUQLgJf8ymic8MrCDmNsWaNtB1lxlwKXG95TBAZHY09zsWFc8oRM/Xrd/gX4MxvdipTif4JxWbB/qjWu/GHB+q381RnDyW/1fi6HPgBdv1aP/cof7P/sU9VnL+X4Od7xMxX40hPDdgDWit68HyvQPbuk3wD6nWf9YttWczrzQtnrZcr7NtsJFPXLcwnhQPMog76FHlpmSOdbg01MNywsLOqQ9oebvdYZRYrL40H6tqP5tzJzrLlCSMsDfrgWaoJZ+fxD3B5E5rXm+IribbXCRXiYznVLN/FrHvUXD/R1KHiILT5cfL1T/9wlCXp08/1Anz3+fIJw/ef55BOHajy0I1ypBuEAQ8pIgNKf5f6Yg5D+dIDTujJ9bCP7+aOZY0V5/jcODzDs8JiM95fCwxv+MwwML7IQm4dQlVHAODwdECuT7rsYs1EEgfEUC31MSe8R1TclniYTWji8oXnh49uYRiw6Pk1VfPuLwYM9xeHBs2tO+yOHRn7YgAFSxGTpAAcYNYtB1IPtR0DHUoYe1btQaZM0KYMxB5I8M3rvuf+Rv/t+kOFzmSkmAgVk+4KTejpkkoAVndToZRl3rTymMVqCAUW84NhhrRyqdmk0O8RyjTVn7v/Zf/f9ZB6Lp6GFGGcaDYW534vg69QgPAJMS47XuyyGoTL2JR2R+NrmOBUusn/CHPNpMY4EW2DHRhAvDC38zuRsAuh3tt3oOxy/wnxpCc7Ey/yr7uO1arLyHI+QHOFD8gfW/n+148UdQmwqKyR13r4swvDzYcIrxkxMcSzYFCs7sqF/WkPNpH6H30kFSMp/hasuVkDgFPmq1y/J5/gAHhKS23MiSuzNH7vnhTqY65CvxDmc9qV7zeq3mrUGAb9FIFgd9P97N5EmGXLTL52XCIxw3n0IICkMqTVX24U/Aym6j5EOtITvD2r681h8sAqXHj2caNKB/qrk+zSN9EaTzR852BdOtHL+NjeNlZvwTWaxvnMRk/999IssCShbl0b5xIpb9vfcclsWTLErifeMcLN29+yR+RJfAFLq5QJEfXTGgSxQDEHJRJnOSrux0YDetXZ1aGL+kcmXNNdhimDoIvVEC4sDsvTUfU0kWZXLho22Tk9TWyKc1lqfD1gIQhStBfNermRzlJHUoKJCS+WhGfZdJBMIVRjEfTMMkLFIVRIcFrD/QCZhmOshFhYW0EJWfazoA0/Ml7zPcJlM44MNzcnGZ8vKEiuL+RRrKQrUEXp14Y350FYUWnSbzdTGKZv9r/CZ03m8yGekJv0nqQ5jxm7ichSHFSCCOQu1R7nBFg1CEjhSE+cTzCQk8goTkIQE+6kruuMwlXEkHeb4/7zd584i2aL68BVYg/agTDW06BOgEaWWMLOMgXbFRFs4uBELELBDMrxMn6WOBScbJUhFA1ZrmQsB6pQ64+qcV5BimObmHOXeKt3H5NnFx6bZbvk2ZV7pNyrcZdkq3afm2ZzqrlGGzIfJ9mSSAioGNJ/9QH/U6sbrOLrK8jCZsvwZ0GE6SLmy8v4lkn/bxU7IT9dP8grwCwqfMIdVMf8g9S0laVKJQMsGXQ9WuF+REECWGpdneMBHIi6Hs9gupBYKZHjG9UbeZDIFczarnAfTDN4xsSyyYclezI+cOszcM67H5YR+t4PCs78DbzUmH0AXf9ISzYCrlePt3+RBzMV72IROM9T4fEg59/EOpE/RdPsRdIWY/9N3kWoCYSF3U8J1mWt8CRh4GCAZtDmJQJLLMDdx7aGx4azuf6x/Kl4UqIMVnMu6GMKaESkWR9kI3YMTnSJDAVYIp39R88pQXMMlSvqhzisraIZkyIyuJzrgSkCTIoTTxyqYL2r+yXknZe/eJvjGswKamBOmzxmLtTYnVSsZ0pe7TDB/zuIFXKgUfpQAccgnCPjBixzFygJsypyENQ9eVOuQYccxoNkngLmYvdEgkDxTwbbin4XVBQ9MlHilQ95B0GAqAjVv+D7Zt3I0e9IT5qA6wrKzWi/Vofy8qin9MWVx90sQpl4vTX25Gxl1suXdeSqV4O1dBl46R2f+Ta5BThnPW2xFg4PecbxTd8ciy6GkdJnMpg6tRMuxaiJ1Zb72BpJuh3KPee8/QX2sQjwCH6/ugXYOC5n2qWc08bWUT9aJhBAz6YabQDOdpStZgIsrqdh7dKMXxaU5ShkcgG+JRCqgcDeNs6lYlgA1pwj1Td6Bpav6ATt0cDTr5PMztJB7B1gQ2vyn7dRjZ8kGveTcGCNomFSsZdfWgea3HkzvpUEnWCqcvW1FvUqYH0KNvzQ9DDSmx+KDNXE/wS5vKNUpPRVtp9ww+RjZtUnjcQ9hxBWfmdGmCqM0JCU56QekU+olYTcWhyfG0GZjI5pWZ+kcoS2ob9Y1+XJIgmH5PH7NKmJWycWeUzqrelfcWa+1w+PtkZimnagJxwwo1TbborghH24fX99trZxd1e4ZUuDZb3ktTDTMuVbiZInwzz0v9P1v2H/jZT4ef3AAuALqIuQF4bPCyF8zd/F6Ick4SwFkbs9JIoa4ZfppzHlLSNokgIP6pRw2HLhDxv8sidEbQzYijGaHx+yIuIzstWOphuxspqyFKMBl861izSZVlqsnZUApzAQEMjmUL2hrZJW1h6gRMSeQrrE1dznuTZplTb7rgV9H+oHuWbugg0fnvB31167b3jACD8W+t7ppv0fUhO+tP3gDRZaQJc5yBlLAL0pjd0lSlaE6H9PZuh+r4shVerM/enr5vMxNzhW2qgAHqlxSuGWaUjLv9dtwz8OnxXtvfVtHXaG/35GEXHUR74iP8eH1xftTeveqz3d4B9c/XYh9Teo4FCrYPbv2z0zDYFoPLM2Je7OiTfnxxHVzJE9FvXHdO9fX1/XG38/lrg9p7Z8cHDbV9NPQ31jqn+H7QOOvfytODE38bXZ+eHTUujveck2tyf7kT7MnzoH92vEu/nB2Mjrv37VO01T/Gnc+Na3F+drXV+LJx6sJ4l7q7teXjzpdDJ76/eNg702db5ydnnW/ypP/5GAW9L1vB4Li3du331sanpwDb2eXRfvdy13/Y2pGdo+Pjbdo/HaOzy4e9rjze+qzW0dcj7AxPN764JxvKPd462Dp8CFBw2m/Lzc1of33vQZ+hO7ktRvpU3AbnR1c+Rp1z93Tsr+96u922E+ysPXyN+O3F+drdfhfRy7MjdIG3HN/dHV1gMdx3p2u5767dKvcoVO5p5J91HhTu3Pqw+PAdJM8OzbrufT27REdoayDRpnvqrhoYkMKn4+n9lnN2fdAPev3ByRlYsYcfG3vHe5/Z5wT34puD3c2NvT6+2o0OdzfWjoKxbp4QdXQQJZv7Dc8InhwRJtx9GF8b8+pRtGhfuEf9oNtx9FnnevcqjhrHnW5wEhxJPDw6QMHdbnQXwVSR6h10StNw6N2Fe/EgN+PnTCPcidH21XFjvxedrZy2cBihvf7KwXZ35dhl3xjbb2yus9HoUrZXF03DCqd6ezjsJ59+/VX2+x+747Q6Qzz4CE/8mr/xK0h7YAilopsZ3zsG5lW7MHlEjeuo00kKEtvWjMu54jyRp0nIaVU5o0nu7/RZcnmx+cXqu6PAWODTuyaLuLd2ZnOe7ZvLWkUu6xRZn0sCL2lRszZMJkFKXHmWk3MH1EVSrnZHgL87HvY81ylUu3uUHWdqkWrHkZWwZXln5P8klMEoN/CdMFIgf9PSA5MyBPWknbbdDCYl/ZwXKvx0MG7RqcKfXs4o/PkzmcJvMqIVLIETcM9XxNc+1QhL0JldRYjSDBMJuvUjCn/mXdSDd1L2F2v4AYgQl3oe87CjAqSNNQvbpolwscscxXWIQuaXNXwumUeRRIFUGCwEgbjwsAwCUPeFBtWJEpf4IjCpQIv0eVA09KAnOyCPrDVXLyrThkhkZ2oP5DtvdKuix/h7psoW/F31Ul0OayKCAvKfn37r1eCfII6Gn2oGhvT6FhT5OP2h6FwjJX0B1AD9mJQPA+lw7BkpbzAmt9NM0UkDwI2fQTCjZ2X6QzaH7C2tV+yLhhj7nViazxzDt80j/YG+NUUR843sj3xYz7ae6MpyoNrRbeG614uHckK6xmY2DO0wo+f6hxmFZ4HnoETemZa1iLwFe4y8xc9F3my0sR9MyTu9nCHv/JmfiLxlwCnootihIfI1yE2uMVjtjuOGHjNVn30wyEUQlsjbIQL7nmlzDP8IBfY948SRQeghRBXlrh8y7inv7yJv9w3kjZ5L3gH2hBI+/4eRd+qvmyFvazUtIG/XREsuJG/Cfi7yFuvHB2hK3unlDHnnz/xE5C1CwaWrgRo9In2tlCJIaidQxHGZ1JpzTTF1y+QNZE3C0NUiZEIxJyDKQQhQHViEhBewK1kQioD/XeRN3kDe/NnkTWEDFflnSe/cS14ib/vjYvI21vxC8qbk5yLv1VYjXpuSd3o5Q975Mz8ReWsfKAYA1DQQHiFMcF/5HlMSI+QI6XPEHU9agpmSt/ZBISeIwCsoAAQPEXNBideKC+r5DKGQU8exx69/C3nTN5A3ezZ5M+7j4B+hnH9/9J1G0fHQ6SZT855fD+/OdePqELGZAWddwt+f4414zKdgyft+8tbUhbnMh/FyR0TLVFbI68MdRNfR0DC0UHajzjj/edvE9rRis0e6KyOzPD37ZCu78f9a5mfjvjEu1uFQd/vDDHOXe1Wyc/IkPYOYOP2zH01px6FxfqfnCd+nbpPKS1J5SSovyT/KS2IaoUxOGmVL2zADc7636DwtyYMQbhZxgZv8rqG+fBzgMHPVIVeKL65MjmIERWb5FhWT/JOcy1NhM/fFJbLnnX3Sj0gcGyDUT4vr5rubhd9UDVNk1TClynD7MUr9VA1THo1qrxqmVA1TftwC+lXDlKpsTdUw5Wdg6oupqWqYUjVMqRqmVA1TqoYpVcOUqmHKD9swpZjpkuetpM7VSc5Kepkz4vQqVbvTv7M8lUnm3vB+dTRs2+B/bdczxbUxergbBGN8j316NQjHd9etq/Cq0+qyLr7rm4CBvh5M00NS79coCr4NYuMSHqSkZYVl/mWTsQFLHKl0A9IfUzfe9ACg5Mwr7JXDHBczRog33x0ZwwJSj05PQiymd+SoZzzHhWcoM1Rgfs65uctSr20n86CbIm+2F3XdOjwHUd86BvOy1xP2CBZLN2lKpXTfQmhyYOAqHXQyj/1wPXjegdMLj7CWOFThllnTbD3b5HI9un24PrSJQAbiIXxpgjQgRcyOyE6S5mvGo36eNzP1vYK8GKY5FgWG8PujDvITs6MwQDPuF3Ksio9aX3nRt1ve/onwWLD9Hn5k+3mxObYyykE0zfC1qSvDuAk6kDYokSO/TQe/nf0EtzdSuAuu8j/q/ijqGDgT67w1G9szfzRnh08XN7vZl6OkkE6Up47EgwUjfp/kRM3fMKSkF700+RLwuaStpD23MiB8Lybm/nvSX75hshpNlff01cCyinoxnj36mL1mGiwMbRakDWsv/frrLZr5wfDcgc2wLCEZjJcejdZ5Mo4Df2W8Nww3VkKx5nsuPznqnxgCSMcwaDbNCNo0v8G96S+7Q93Nf902/vj84otxVeUXp5G+y/9upEwtvfzd8NCodxtHKsuj6oKYj81iThJEv394IfuIBy3Zix4ylaj+ZbyZpQLUGubAKz2VtDPLDlDqBeW5cVLDtLayUttt1BByzF87o6FqW13h+zOOR+a5pkmXa8sgvpue/j1C5kWAStzcMoAlPCYdITuPLA2zhCesp4MVz58KAQdBV7KkN8MKHrjcWhWLWAF3XeZOKf5lSXVmBGAYhLiFRLRtPbTWXyPLd0rjpixooOul50MT0A7vd7Y52UfzoIGA4h6lbwAN1DwkKCuAltYUsWWecmstqX0bGDJTugjo6bbn4hKgDcwv7nyfzQNKqUAuF68HlAkX1FbBC4CmjgG7jFOYG4/Cq12xSovxpuef9QE57of0ag5ecx6OKSdvgZcLz0NeAd5GnFr8BsytqANC3VwtgvRLa2N7WIY0YKeKqo0FkAoAFDtLICXLIQWVGswMVFzZ+XShzXuwqmprMolUUoA0JMf7n0s4cHT9ud0dfbn8PAMpQtR8xLU+p1etKXLNjlDHVLKYQHqkQ5AIYLSku78uOyorUbIQB8JvV0eymFJwfuJvkz2XdZNZeOFrgoHS/Gq6hxE8igTCpIgDqZlv6H4I/AxWcyEC9MR2mbRO/Iet481DdTMPpsdc7ohly+pMwMxynIuQ5ipmTlRRD2xAYN61LRA9jy9ktH3SOylBqNpf1sejS3ceQkY4QWQZ8eOlCwnGiUsoc9FSFDXsAPY+RYQJ8AWYW+LkMiit6unp6GCrxeaYPrAq5ApmE39fu/kcCQa2nijADLZxR8ve8pVtNc7DcaME5Xn/5ou8/7w2D6VLMHIQfwOUhBIGfxSg3A2fADDe6d2XaOj08iZqj86vZvk+DE8pwcwk8L566xlmIH3x0q3PF3Y/bkUqPebbWogC7W/fbm6LOefnvlpnm3vbh+NZ2BklBKWVeF65uDCCxzl2izIA1JIgMlA9RWDtESFfDsqQXvXu+wma46zwHcEp8tgbIKWeC4LAXcRZl8MZ7W9vn5bUFT84Hewf9Hun83CazB3hvlpdgf8xRDBszFJsKK6xwYUFMylOIG6fPpSswvBw62Zno3V0NzsBwT3kEJe9fqFhBM9xuFPUtzbMiYiB8zjqPrHYV8dn/Q2vBOsRY9HB1vVoAawCVBCxbLGXk57ggBGw4E5pse+HT4C4th4SVQKxccHi9bNoVndJPYHU46+XsDBB4IEeX44PZoE/2NVNq5eWJzGF/Ujcyt64tLw33dHt+Mv11izrxR4ozUapXwb7S8Tu5r3s1lBZzzKn0tM07ekKx+eDVon/3vTI4CG+3ZhFWAMlww5maAmU7hMFQRzqUo+UeZg9OV9PQ7kW4MD12We8ul+CMEZre/hhf5bLmvGZ42H31Zq2GUEwgZ2SlpW1Nn4a0u2N8VZ5x+PDz2uHZ+NZWQbfQcj869X6q32Zcvh3AdJvkV4GXhooWQSvEAM5A56tsrNUCLwEIZdVDLAetSccbplnKXVlNmXfVBwp+Lc+5HeMox0VLqtqHlU1j9YUH0bFWOY8bBhwq5mFSzSzWGzfcMwVuLGSusxWzLEloHD29G1+FFzfP95dQX1zYjIEpXFa0mly+JXFiwckdAMnECs0dPQKEUqs+GEoVrijuYMF5RLxBYOEscnBMOUam5k7PYuXz7xzj3w00IkaRP1HnXoLPjOdkvsRkfrEV5hVbLXU2AxiNTL01hzKQcv41etRODCO2cWPD/RwNOg9XXEk9Q7/eqf9X8uFf7KA6OZ016ZZOHllqqY5E0qfGMZBPHOOWTpCMMW4+jDPOD2saNpzi+KRxewD6ZrPnF7MPmOSB/IxaosftJHSsIf2LAXWKErP5pedqWR+V5A9qXtydsLPYKzT9Xuew9YyWnPax5AQUktMvICHLg2o0k7oYlDeBHK05/vALBTFHCw9QTUL6yZoSVkplYlL44SsrZpWSisGl6bntZg6yDFmsD3pMmdXM4fp2X1TSg12cfaew8iHNL2imZ5E2OOuP153vpuejU8cwcsiKj5MjuNtDVYLwKvOt1On9CQDaVLzMS88ak8c0uPHNFOhLKvzE+JFspqx+dMlW36tqK89WrizyiSoMgmqTIIqk6AKOq0yCapMgiqToMokqDIJ/slMvcokqDIJqkyCKpOgyiSoMgmqTIKfLJOgXNB1oesKPcd1ZXpYv9B19Vt9td8H4X5kYn5Hxl6bb+c8SO+lfij7dNRLxdrNyLhGp12biembyZ9wC6VDLLEdkux8ctZyKDbxzGHKesKWmkj/A7w/P4JC+9P2Ri5YWaZb6Tb517tZWwbPDpE1ujIBbbqOG0fDG5d4WatM0610m77zJPCfMIm5VpmlSXiftr13noT7J0xirqNmaRLs0zZ750mQd5tEwQTtCtEpmqBGgCwyQWu25tp//1bvS3O81frk/FZ/RpPuD1lj5NEglwHJh2njbgm8N7WIckGRmSX5s9aUhYWctbFyppDaP8YkzPl8qWFjupS/rPFP2/xfLzFgS7Ku5o9rhylAxYaZeVtMM8+89+U7tOOeN2SzTX5BY9DcnC4sJXw0W6IE5pdJTpDi+cKnMnQ6xGoQFPqYm96ngTZ5dklJoC+1R//03poYFQ1Ru2czmPwaI9SdN0LRvBG6UJdM9aoZXVKCYi49gSghodRu4Ck/pFIx5guEGPKp4phjjRChWnmhq3zqSNCvOVcup6Ga1yXfPGJZlzTVwxfqkvxZuiRDzgt1yaybOuz8WTzoBHcRUPK39Zo5bLQJRrU7IKdgYKIUDO0Fums4Rrbc5heDMGdRL4jvkhpyALHDgU7aOSr5I2CQwFJrYL9fA0LVzDdTbTXzuMDHGtOPTRrY5rrsFBCrryZANwOgaHgLABmBiWOO3w1zsh+MRwmAl9hOw/DIwA5iblugsxzUJAcuNb6nDA6IxJ7mZse64gmd2LabL4G/RD8G43uxUpxPcE4rtg/1xrVfDDi/1b8aIzj5rf6vxdBnwIu36tF/ucP9n32K+rIW4292uONlKvYiUGv/8Z7AGtGb9Y+E194A+5xm/WPZVj9ie/mCHjluYTwoHmWQ99Ajy0zJHGvw6amG5YUFHdKeUPP3OsMoMVl8aL+2rF/6AiUpA/ztWuDCJujPmeZutsFFepnMdEo182sd9xYN93coeYgsPF22QvMHE4S8Onn+oU6e/z5BOH/y/PMIwrUfWxCuVYJwgSDkJUFoTvP/TEHIfzpBaNwZP7cQLHg6ijtSRHn+OocHmXd4TEZ6yuFhjf8ZhwcW2AlZYJwhVHAODwdECuT7rsYs1EEgfEUC31MSe8R1lYORREJrxxemWsSCw7M3j1h0eKT9lBY6PNhzHB4cY/FCh0c/7mflFAyqnAxl23BD4wYx6DqQ/SjoGOrQw1o3aqVB8jY4fBD5I4P3rvsf+Zv/NykOl7lSksjk5QJlOqm3w37i2/Sx+bM60w+ha/0phdEKFDDqDccGY+1IpVOzySGeY7Qpa//X/qv/P+tANB09zCjDeDDM7U4cX6ce4QFgUmK81n3Tp2XQm3hE5meT61iwxPoJf8ixdf4WZrpEC+yYaMKF4YW/mdwNAN2O9ls9h+MX+E8NoblYmX+Vfdx2LVbewxHyAxwo/sD63892vPgjqE0FxeSOu9dFGF4ebDjF+MkJjiWbAgVndtQva8j5tI/Qe+kgKZnPcLXlSkicAh+12mX5PH+AYxJ3LTey5O7MkXt+uJOpDvlKvMNZT6rXvF6reWsQ4Fs0ksVB341cU1s3EsQwgWcz5KJdPi8THuG4+RRCUBhSaaqyD5uCBbdR8qHWkJ1hbV9e6w8WgdLjxzMNGtA/1Vw3wQz75F8vhXT+yNmuYLqV47excbzMjH9kEvTTPn2HSUz2/90nsiygpDgR79O+9w4TsezvveewLJ6kOAf2aZ+9wxws3b37JH5El8AUurlAkR9dMaBLFAMQclEmc5KuSeAepHZ1amH8ksqVNddgi2HqIPRGCYgDs/fWfEwlWZTJhY9ZycE18mmN5emwtQBE4UoQ3/VqJkc5SR0KCqRkPppR32USgXCFUcwH0zAJi1QF0WEByzLzdZCLCgtpISo/13QApudL3me4TaZwwIfn5OIy5eUJFcX9izSUhWoJvDrxxvzoKgotOk1mlMciX2Cv85vQeb/JZKQn/CapD2HGb+JyFoYUI4E4CrVHucMVDUIROlIQ5hPPJyTwCBKShwT4qCu54zKXcCUd5NnevzN+kzeP+N2m/d8CK5DTwsygE0SmhnGecZCu2CgLZxcCIZIWfFOdOEkfC0wyTpaKAKrWNBfiQz1zwJnmnI5hmpN7mHOneBuXbxMXl2675duUeaXbpHybYad0m5Zvex4mThk2GyLfl0mSNRk1TTlHvU6srrOLLC+jCduvAR2Gk6QLG+9vItkLBdzzCs9/TCogfMocUs283lDqWUqyyrbTkglpb82CnJhUQTbIDvJiKLv9QmqBYA5Ild6o27RFoc2q5wH0wzeMbEssUD4/cu4we8OwpvzS7LCPVnB41nfg7WbenHPRNz3hLJhKOd7+XT7EbH/2xz/EDt7rQ8Khj38obyr/Dh/irqnvWf6QLanyoh7DG97ajinJWLosVAEpPpNxN4QxJVQqirQXugEjPkeCBK4STPnEd4WnvIDJR3oMmzIjK1lDWlu1tv32PsOpZExXamHLYQrAIZcg7AMjdhwjB7gfOE5Iw9B1pQ45RhyzcsvhQIdE8kAB34Z7Gl4XNMQOmL8K1D0kHYYCYOOW/0/b9+ZlxBc0IS42pJiwuIwjFOTi9Je8+3UyLaVSvD1pY7FsjMz+n1xnLS3q7ShIa7XNueORZdFxkkkbeymDq1EyTGv7O7PeegNJN0O5R733nqE/WwsdPr4P2jUoaF6pelDUi0zZdVjFcqEZzqedANLFqNezTsx2YaY5SRkegWyIRymgcjSMs6lblcAUSYJ7pu5A09T8AZ06rReVlZQz9eBt1aPA5jdlv6bF4F71bmwaeUxrX9na/tmddKgkqyDfl62oN22IrAd9a344k+7NPmgz1xP80qZyjdJT0VbaPYOPkU2bFB73EHZcwZk5XZoganNCgtMu7Cn0E7H6wuqAVoJgmtbhH2QtA8ygnVFWGKwr7y3WptU7v09mlnKqQpP1cvfn3z+Ur82WZ92xF7WKthWo8rzU/7Nl/4Gf/XT4yQ3gAqCLmBuAxwYve8HczUJBwWlbBbApLNQ1w09zzkPmW9Ez6tkKzAUi/vds4+qSoJsRRzNC4/dFXObxLvY2qbJMNTkbSmEuIIDzWLtxiXyFtTTtxk2aZU69WSHPaH/QPUs3dJDo+lzFNNvZwuqusxXw0jdAdBlpUqrA1pWmKkVzOqS3dztUx5et8GJ99vb0fZuZmCtsUwXMM5WbCwrXDDOqijVWxRptscYcESbcfRhf20J9j6FF+8I96gfdjqPPOte7V3HUOO50g5PgSOLh0QEK7najuwimilTvoFOahkPvLtyLB7kZP2ca4U6Mtq+OG/u96GzltIXDCO31Vw62uyvHLvvG2H5jc52NRpeyvbpoGk8WQszf+BWkPTCEaVP65xVS/VBq+TNL5GkSclpVzmiS+zt9llxebH6x+q6tMli4W6wM+85t7kta1KwNk0mQElee5eTcAXWRlKvdEeDvjoc9zy1UWH+cHWdqkWrHkZWwZXln5P8klMEoN/CdMFIgf9PSA5MyBPWkHdtTnWBS0s95ocJPB+MWnSr86eWMwp8/kyn8JiNawRI4Afd8RXztU42wBJ3ZVYQozTCRoFs/ovBn3kU9eCdlf7GGH4AIcannMQ87KkDaWLOwbZoIF7vMUVyHKGR+WcPnknkUSRRIhcFCEIgLD8sgAHVfaNNEhbjEF4FJBVqkz4OioQc92cmLpNaLyrQhEtmZ2gP5zhvdqugx/p6psgV/V71Ul8OaiKCA/Oen33o1+CeIo+GnmoEhvTYd5OL0h6JzjZT0hbS71GIpHwbS4dgzUt5gTG6nmaKTBoAbP4NgRs/K9IdsDtlbWq/YFw0x9juxNJ85hm+bR/oDfWuKIuYb2R/5sJ5tPdGV5UC1o9vC9eL+SIcZPdc/zCg8CzwHJfLOtKxF5C3YY+Qtfi7yZqON/WBK3unlDHnnz/xE5C0DTkEXxQ4Nka9BbnKNwWp3HDf0GAtD3weDXARhibwdIrDvEbD84R+hwL5nnDgyCD2EqKLc9UPGPeX9XeTtvoG80XPJO8CeUMLn/zDyZgcLyNtaTQvI2zXRkgvJm7Cfi7zF+vEBmpJ3ejlD3vkzPxF5i1Bw6WqgRo9IXyulCJLaCRRxXCa15lxTTN0yeQNZkzB0tQiZUMwJiHIQAlQHFiHhBexKFoQi4H8XeZM3kDd/NnlT2EBF/lnSO/eSl8jb/riYvDF+hLwp+bnIe7XViNem5J1ezpB3/sxPRN7aB4oBADUNhEcIE9xXvseUxAg5QvoccceTlmCm5K19UMgJIvAKCgDBQ8RcUOK14oJ6PkMo5NRx7PHr30Le9A3kzZ5N3oz7OPhHKOffH32nUXQ8LOmkWhxw1iX8/TneiMd8ClnfgnkX5jIfxssdES/sW/2MTtgmpL/bH2aYu9yrkp2TJ+kZxMTpn/1oSjvaPsvpecL3qduk8pJUXpLKS/KP8pKYRiiTk0bZ0jbMwJzvLTpPS/IghJtFXOAmv2uoLx8HOMxcdciV4osrk6MYQZFZvkXFJP8k5/JU2Mx9cYnseWef9CMSxwYI9dPiuvnuZuE3VcMUWTVMqTLcfoxSP1XDlEej2quGKVXDlB+3gH7VMKUqW1M1TPkZmPpiaqoaplQNU6qGKVXDlKphStUwpWqY8sM2TClmuuR5K6lzdZKzkl7mjDi9StXu9O8sT2WSuTe8Xx0N2zb4X9v1THFtjB7uBsEY32OfXg3C8d116yq86rS6rIvv+iZgoK8H0/SQ1Ps1ioJvg9i4hAcpaVlhmX/ZZGzAEkcq3YD0x9SNNz0AKDnzCnvlMMfFjBHizXdHxrCA1KPTkxCL6Wkn89IzlE0anGfc3GWp17aTedBNkTfbi7puHZ6DqG8dg3nZ6wl7BIulmzSlUrpvITQ5MHCVDjqZx364HjzvwOmFR1hLHKpwy6zpor7pkYF4CF+aIA1IEbMjspOk+ZrxqJ/nzUx9ryAvhmmORYEh/P6og/zE7CgM0Iz7hRyr4qPWV1707Za3fyI8Fmy/hx/Zfl5sjq2MchBNM3zT5ulxE3QgbVAiR36bDn47+wlub6RwF1zlf9T9UdQxcCbWeWs2tmf+aM4Ony5udrMvR0khnShPHYkHC0b8PsmJmr9hSEkvemnyJeBzSVtJe25lQPheTMwFsZOXtDFZjabKe/pqYFlFvRjPHn3MXjMNFoY2C9KGtZd+/fUWzfxgeO7AZliWkAzGS49G6zwZx4G/Mt4bhhsroVjzPZefHPVPDAGkYxg0m2YEbZrf4N70l92h7ua/bht/fH7xxbiq8ovTSN/lfzdSppZe/m54aNS7jSOV5VF1QczHZjEnCaLfP7yQfcSDluxFD5lKVP8y3sxSAWoNc+CVnkramWUHKPWC8tw4qWFaW1mp7TZqCDnmr53RULWtrvD9Gccj81zTpMu1ZRDfTU//HiHzIkAlbm4ZwBIek46QnUeWhlnCE9bTwYrnT4WAg6ArWdKbYQUPXG6tikWsgLsuc6cU/7KkOjMCMAxC3EIi2rYeWuuvkeU7pXFTFjTQ9dLzoQloh/c725zso3nQQEBxj9I3gAZqHhKUFUBLa4rYMk+5tZbUvg0MmSldBPR023NxCdAG5hd3vs/mAaVUIJeL1wPKhAtqq+AFQFPHgF3GKcyNR+HVrlilxXjT88/6gBz3Q3o1B685D8eUk7fAy4XnIa8AbyNOLX4D5lbUAaFurhZB+qW1sT0sQxqwU0XVxgJIBQCKnSWQkuWQgkoNZgYqrux8utDmPVhVtTWZRCopQBqS4/3PJRw4uv7c7o6+XH6egRQhaj7iWp/Tq9YUuWZH6P9v79qW04aB6K9k8lxa3WxJjw0E2oRkAgmE5sXjKzhpbCCYQr6+K9uAZRzTuq+dyTBhEPLR0Wq12l0tSFWy2CMd+gHsCHBoyWa/bf908xIllTIQ3D0P7eKVgsnI6bEryl/fynjhaZKD0dx43UMPpoElJqwoA9kxX637FegzYLNSACLZ05fWyHnvPlwO3MUxTJNTgWQdrWgPM7/jXES6MzF3iyqM4AwIyvusC1vPx0SGvVE00hC6s5v2Nnmixwg5EwyzusVPaomEwwllBqe4VkSVOoC5zwRhD76AeSpHT57G6nic3Han/Ejpg6rCVPL04m/TyRdYcjjryQJmOBv/9O2ontnp/STY3msoJ/PFjb25vjhGSRnBCIt/QMkMxuGfAsrvwQmA8bdoo62h8dMinCWT57Leh+4NgxGuLvA2nnpOOOy+pHbqd8T242noZmG+bqUIzO7uFuvinfOJ47b55VVvsC1j5wZjOKvE05Bc6MEUgtDiHgBmiRcqVKcW2Cxh7OZWR/ocbeZv+EizwnOkMLDJ/wGpYVLYCGiVZq3HGfZ7vbFmrjjeeNm/nUfjY5zq5o6kjc0V+OOYEZiYWmkocqxkoWIkxQHEs/G7dioMBt3Ft850+Ks8AClMjBjlzYmGHkyEBCraWx0VEVE4H8LXE2Q/PzzOO6aGdch5eNt9SSqwSjBBZB3Z9UtPCpAIIBxpZG9WJyBetAPmahDvf/C4/RiWbZfME2iYovkOCwMEHWiKenlQBH9K2c2ql+qDOGAfyrUdbTV6F6/Jenvz0i2rXmKC0ayM+jrsf7PtXm7s1zOs21kqKn24pn1gOJ4sp5r+XURs+R6vO2WBVSg5QYTjGpT0REEQZFDDZLoOSyPn7SyVq0IGXh6vyde+hjDGF1fkvV/Wsqp/jkxCG1vaqgfJJUGalZX/tPFppL3OtqvPeDy4vhg8bst7GTwHY/XS2H5Nv2wIeC0gvQv9OnhZomQRXiEHsgQvrbJTuwn8jUDWVQxIPWonHG65ZylzZVr2XFUcKfi3Pu0+UY52XHj7v5rH/2oe04M8JMVc5l3aMMiWladLWHkutqM0Zgs+aGUus5YKW4II563Xu1Dwef/hewvPVcRkBUbjoaTTPviV54t7LKAe8mTLCJDfYtKVLScIZEsgXyAiDWFjUdFJEKs7GKpco5W70/N8+dw798FDPf/NXYbzD516FY85DIl+xux87yvMK7amq9HyYjdR681a2cup8qufh8FSOWarmy/9VbKMTlccybzDX375zhe98E+eEG0dZu1wC2dXmcpSMaGsxSr24lIcUwshqGJccxhnnAUrrDRuUQxZlBtknJeiF+U26vLAro+z6oZppjTMYRpLAY7CLDZfF1PJ/a6w92TuyfKA/0CxHvj7M4dtqmhVtI9jKW3fJsz0REANz3B9FFACxpvEyDcdB5SFaxABJz1p+DxQlUl/AyXVSX/JPwIA</properties>
</file>

<file path=customXml/itemProps1.xml><?xml version="1.0" encoding="utf-8"?>
<ds:datastoreItem xmlns:ds="http://schemas.openxmlformats.org/officeDocument/2006/customXml" ds:itemID="{F3F34828-D0B5-D244-BE6C-B07DBAB2F1AF}">
  <ds:schemaRefs>
    <ds:schemaRef ds:uri="http://schemas.myeducator.com/symphony/msoffice/properties/officeprops"/>
  </ds:schemaRefs>
</ds:datastoreItem>
</file>

<file path=customXml/itemProps2.xml><?xml version="1.0" encoding="utf-8"?>
<ds:datastoreItem xmlns:ds="http://schemas.openxmlformats.org/officeDocument/2006/customXml" ds:itemID="{41F75CF2-2DCE-AA43-B060-808763340BAC}">
  <ds:schemaRefs>
    <ds:schemaRef ds:uri="http://schemas.myeducator.com/symphony/msoffice/properties/submission"/>
  </ds:schemaRefs>
</ds:datastoreItem>
</file>

<file path=customXml/itemProps3.xml><?xml version="1.0" encoding="utf-8"?>
<ds:datastoreItem xmlns:ds="http://schemas.openxmlformats.org/officeDocument/2006/customXml" ds:itemID="{88E630E0-AD3C-DD46-99C4-B9405EF9A101}">
  <ds:schemaRefs>
    <ds:schemaRef ds:uri="http://schemas.myeducator.com/properties/myeducator/atlas_meta"/>
  </ds:schemaRefs>
</ds:datastoreItem>
</file>

<file path=customXml/itemProps4.xml><?xml version="1.0" encoding="utf-8"?>
<ds:datastoreItem xmlns:ds="http://schemas.openxmlformats.org/officeDocument/2006/customXml" ds:itemID="{EC6DF881-F907-EE43-822F-5703884B76B5}">
  <ds:schemaRefs>
    <ds:schemaRef ds:uri="http://schemas.myeducator.com/properties/myeducator/atlas_meta_I9WxgiM86fYk"/>
  </ds:schemaRefs>
</ds:datastoreItem>
</file>

<file path=customXml/itemProps5.xml><?xml version="1.0" encoding="utf-8"?>
<ds:datastoreItem xmlns:ds="http://schemas.openxmlformats.org/officeDocument/2006/customXml" ds:itemID="{249B445C-769B-D744-9449-172084893312}">
  <ds:schemaRefs>
    <ds:schemaRef ds:uri="http://schemas.myeducator.com/properties/myeducator/atlas_meta_I9WxgiM8HR2x"/>
  </ds:schemaRefs>
</ds:datastoreItem>
</file>

<file path=customXml/itemProps6.xml><?xml version="1.0" encoding="utf-8"?>
<ds:datastoreItem xmlns:ds="http://schemas.openxmlformats.org/officeDocument/2006/customXml" ds:itemID="{3525A293-FFDA-D44B-9913-7D9E02EB74EF}">
  <ds:schemaRefs>
    <ds:schemaRef ds:uri="http://schemas.myeducator.com/properties/myeducator/atlas_meta_I9WxgiM8HR7N"/>
  </ds:schemaRefs>
</ds:datastoreItem>
</file>

<file path=customXml/itemProps7.xml><?xml version="1.0" encoding="utf-8"?>
<ds:datastoreItem xmlns:ds="http://schemas.openxmlformats.org/officeDocument/2006/customXml" ds:itemID="{AD4C9623-099D-6D4C-8CB2-3684C3E30CC5}">
  <ds:schemaRefs>
    <ds:schemaRef ds:uri="http://schemas.myeducator.com/properties/myeducator/atlas_meta_I9WxgiM8UAba"/>
  </ds:schemaRefs>
</ds:datastoreItem>
</file>

<file path=customXml/itemProps8.xml><?xml version="1.0" encoding="utf-8"?>
<ds:datastoreItem xmlns:ds="http://schemas.openxmlformats.org/officeDocument/2006/customXml" ds:itemID="{9C026213-8588-FD44-B02E-FCCD88E3B344}">
  <ds:schemaRefs>
    <ds:schemaRef ds:uri="http://schemas.myeducator.com/properties/myeducator/atlas_integrity"/>
  </ds:schemaRefs>
</ds:datastoreItem>
</file>

<file path=customXml/itemProps9.xml><?xml version="1.0" encoding="utf-8"?>
<ds:datastoreItem xmlns:ds="http://schemas.openxmlformats.org/officeDocument/2006/customXml" ds:itemID="{263AAABC-7D72-3C49-8EEA-E55F2FDB5347}">
  <ds:schemaRefs>
    <ds:schemaRef ds:uri="http://schemas.myeducator.com/properties/myeducator/atlas_log_comm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Apple</vt:lpstr>
      <vt:lpstr>PC Shipments</vt:lpstr>
      <vt:lpstr>Utah Population</vt:lpstr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Gallegos</dc:creator>
  <cp:lastModifiedBy>Nikita Gallegos</cp:lastModifiedBy>
  <dcterms:created xsi:type="dcterms:W3CDTF">2025-07-15T23:31:19Z</dcterms:created>
  <dcterms:modified xsi:type="dcterms:W3CDTF">2025-07-15T23:54:00Z</dcterms:modified>
</cp:coreProperties>
</file>