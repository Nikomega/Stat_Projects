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kita/Downloads/"/>
    </mc:Choice>
  </mc:AlternateContent>
  <xr:revisionPtr revIDLastSave="0" documentId="13_ncr:1_{A498A638-CB9D-B447-A7E0-2F03C4FD82E3}" xr6:coauthVersionLast="47" xr6:coauthVersionMax="47" xr10:uidLastSave="{00000000-0000-0000-0000-000000000000}"/>
  <bookViews>
    <workbookView xWindow="2120" yWindow="1080" windowWidth="29920" windowHeight="17560" activeTab="1" xr2:uid="{88FC3691-ED54-A64D-BF1A-FCD869EC8F05}"/>
  </bookViews>
  <sheets>
    <sheet name="Statistical Functions" sheetId="2" r:id="rId1"/>
    <sheet name="Financial Functions" sheetId="3" r:id="rId2"/>
    <sheet name="Formula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3" l="1"/>
  <c r="D5" i="4"/>
  <c r="F22" i="3"/>
  <c r="D36" i="3"/>
  <c r="C36" i="3"/>
  <c r="F10" i="3"/>
  <c r="C10" i="3"/>
  <c r="D38" i="3"/>
  <c r="D40" i="3" s="1"/>
  <c r="C38" i="3"/>
  <c r="C22" i="3"/>
  <c r="I18" i="2"/>
  <c r="I16" i="2"/>
  <c r="I14" i="2"/>
  <c r="I12" i="2"/>
  <c r="I10" i="2"/>
  <c r="I8" i="2"/>
  <c r="I6" i="2"/>
  <c r="I4" i="2"/>
  <c r="E6" i="4"/>
  <c r="E7" i="4"/>
  <c r="E8" i="4"/>
  <c r="E9" i="4"/>
  <c r="E10" i="4"/>
  <c r="E11" i="4"/>
  <c r="E12" i="4"/>
  <c r="E13" i="4"/>
  <c r="E14" i="4"/>
  <c r="E16" i="4"/>
  <c r="E5" i="4"/>
  <c r="D6" i="4"/>
  <c r="D7" i="4"/>
  <c r="D8" i="4"/>
  <c r="D9" i="4"/>
  <c r="D10" i="4"/>
  <c r="D11" i="4"/>
  <c r="D12" i="4"/>
  <c r="D13" i="4"/>
  <c r="D14" i="4"/>
  <c r="D15" i="4"/>
  <c r="E15" i="4" s="1"/>
  <c r="D16" i="4"/>
  <c r="D17" i="4"/>
  <c r="E17" i="4" s="1"/>
  <c r="E18" i="4" l="1"/>
</calcChain>
</file>

<file path=xl/sharedStrings.xml><?xml version="1.0" encoding="utf-8"?>
<sst xmlns="http://schemas.openxmlformats.org/spreadsheetml/2006/main" count="130" uniqueCount="85">
  <si>
    <t>Major League Baseball Salaries by Team</t>
  </si>
  <si>
    <t>Statistical Functions</t>
  </si>
  <si>
    <t>DIVISION</t>
  </si>
  <si>
    <t>TEAM</t>
  </si>
  <si>
    <t>2019 PAYROLL</t>
  </si>
  <si>
    <t>1990 PAYROLL</t>
  </si>
  <si>
    <t>2019 WINS</t>
  </si>
  <si>
    <t>1990 Wins</t>
  </si>
  <si>
    <t>Response</t>
  </si>
  <si>
    <t>Task</t>
  </si>
  <si>
    <t>AL Central</t>
  </si>
  <si>
    <t>Chicago White Sox</t>
  </si>
  <si>
    <t>Number of MLB Teams in 1990</t>
  </si>
  <si>
    <t>Cleveland Indians</t>
  </si>
  <si>
    <t>Detroit Tigers</t>
  </si>
  <si>
    <t>Number of MLB teams</t>
  </si>
  <si>
    <t>Minnesota Twins</t>
  </si>
  <si>
    <t>Kansas City Royals</t>
  </si>
  <si>
    <t>Total salaries paid in 1990.</t>
  </si>
  <si>
    <t>AL East</t>
  </si>
  <si>
    <t>Baltimore Orioles</t>
  </si>
  <si>
    <t>Boston Red Sox</t>
  </si>
  <si>
    <t>Total salaries paid in 2019.</t>
  </si>
  <si>
    <t>New York Yankees</t>
  </si>
  <si>
    <t>Tampa Bay Rays</t>
  </si>
  <si>
    <t>NA</t>
  </si>
  <si>
    <t>Average salary paid by the teams in 1990.</t>
  </si>
  <si>
    <t>Toronto Blue Jays</t>
  </si>
  <si>
    <t>AL West</t>
  </si>
  <si>
    <t>Houston Astros</t>
  </si>
  <si>
    <t>Average salary paid by the teams in 2019.</t>
  </si>
  <si>
    <t>Los Angeles Angels</t>
  </si>
  <si>
    <t>Oakland Athletics</t>
  </si>
  <si>
    <t>Maximum team salary amount in 1990.</t>
  </si>
  <si>
    <t>Seattle Mariners</t>
  </si>
  <si>
    <t>Texas Rangers</t>
  </si>
  <si>
    <t>Minimum team salary amount in 2019.</t>
  </si>
  <si>
    <t>NL Central</t>
  </si>
  <si>
    <t>Chicago Cubs</t>
  </si>
  <si>
    <t>Cincinnati Reds</t>
  </si>
  <si>
    <t>Milwaukee Brewers</t>
  </si>
  <si>
    <t>Pittsburgh Pirates</t>
  </si>
  <si>
    <t>St. Louis Cardinals</t>
  </si>
  <si>
    <t>NL East</t>
  </si>
  <si>
    <t>Atlanta Braves</t>
  </si>
  <si>
    <t>New York Mets</t>
  </si>
  <si>
    <t>Philadelphia Phillies</t>
  </si>
  <si>
    <t>Washington Nationals*</t>
  </si>
  <si>
    <t>Florida Marlins</t>
  </si>
  <si>
    <t>NL West</t>
  </si>
  <si>
    <t>Los Angeles Dodgers</t>
  </si>
  <si>
    <t>Arizona Diamondbacks</t>
  </si>
  <si>
    <t>Colorado Rockies</t>
  </si>
  <si>
    <t>San Diego Padres</t>
  </si>
  <si>
    <t>San Francisco Giants</t>
  </si>
  <si>
    <t>* The Washington Nationals were the Montreal Expos in 1990</t>
  </si>
  <si>
    <t>NA = The team did not exist in 1990</t>
  </si>
  <si>
    <t>Financial Functions</t>
  </si>
  <si>
    <t>Task 1 Data</t>
  </si>
  <si>
    <t>Task 2 Data</t>
  </si>
  <si>
    <t>Loan Amount</t>
  </si>
  <si>
    <t>Monthly Payment</t>
  </si>
  <si>
    <t>Interest Rate*</t>
  </si>
  <si>
    <t>Number of Payments</t>
  </si>
  <si>
    <t>* Remember to divide the interest rate by 12 (to calculate the monthly interest rate) in your function.</t>
  </si>
  <si>
    <t>Task 3 and 4 Data</t>
  </si>
  <si>
    <t>Task 5 Data</t>
  </si>
  <si>
    <t>Monthly Savings Amount</t>
  </si>
  <si>
    <t>Number of Months</t>
  </si>
  <si>
    <t>Nominal Interest Rate</t>
  </si>
  <si>
    <t>Future Account Balance</t>
  </si>
  <si>
    <t>Effective Interest Rate</t>
  </si>
  <si>
    <t>* Remember to multiply the nominal interest rate by 12 (to calculate the annual interest rate).</t>
  </si>
  <si>
    <t>Task 6-8 Data</t>
  </si>
  <si>
    <t>15 Year Mortgage</t>
  </si>
  <si>
    <t>30 Year Mortgage</t>
  </si>
  <si>
    <t>Total Payments (PMT * # of PMTs)</t>
  </si>
  <si>
    <t>Difference between 30-year and 15-year payback (the 30 year amount  - the 15 year amount)</t>
  </si>
  <si>
    <t>* Remember to divide the interest rate by 12 (to calculate the monthly interest rate) in your functions.</t>
  </si>
  <si>
    <t>Sales Tax Rate</t>
  </si>
  <si>
    <t>Transaction ID</t>
  </si>
  <si>
    <t>Amount</t>
  </si>
  <si>
    <t>Sales Tax</t>
  </si>
  <si>
    <t>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</si>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</sst>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&quot;$&quot;#,##0"/>
    <numFmt numFmtId="165" formatCode="&quot;$&quot;#,##0.00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i/>
      <sz val="15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0E68C"/>
        <bgColor rgb="FF01E49A"/>
      </patternFill>
    </fill>
    <fill>
      <patternFill patternType="solid">
        <fgColor rgb="FF800000"/>
        <bgColor rgb="FF01E49A"/>
      </patternFill>
    </fill>
    <fill>
      <patternFill patternType="solid">
        <fgColor rgb="FF314F4F"/>
        <bgColor rgb="FF01E49A"/>
      </patternFill>
    </fill>
  </fills>
  <borders count="18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000000"/>
      </left>
      <right style="medium">
        <color rgb="FFD9D9D9"/>
      </right>
      <top style="medium">
        <color rgb="FFD9D9D9"/>
      </top>
      <bottom style="medium">
        <color rgb="FF000000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000000"/>
      </right>
      <top style="thin">
        <color rgb="FFBFBFBF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rgb="FF000000"/>
      </bottom>
      <diagonal/>
    </border>
    <border>
      <left style="thin">
        <color rgb="FF808080"/>
      </left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rgb="FF000000"/>
      </right>
      <top style="thin">
        <color rgb="FF808080"/>
      </top>
      <bottom style="medium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3" borderId="0" xfId="0" applyFont="1" applyFill="1"/>
    <xf numFmtId="0" fontId="2" fillId="4" borderId="0" xfId="0" applyFont="1" applyFill="1"/>
    <xf numFmtId="164" fontId="0" fillId="0" borderId="0" xfId="0" applyNumberFormat="1" applyAlignment="1">
      <alignment horizontal="center"/>
    </xf>
    <xf numFmtId="0" fontId="2" fillId="4" borderId="2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64" fontId="0" fillId="0" borderId="4" xfId="0" applyNumberFormat="1" applyBorder="1"/>
    <xf numFmtId="0" fontId="0" fillId="0" borderId="4" xfId="0" applyBorder="1" applyAlignment="1">
      <alignment horizontal="center"/>
    </xf>
    <xf numFmtId="0" fontId="2" fillId="4" borderId="5" xfId="0" applyFont="1" applyFill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3" borderId="7" xfId="0" applyFont="1" applyFill="1" applyBorder="1"/>
    <xf numFmtId="0" fontId="2" fillId="3" borderId="1" xfId="0" applyFont="1" applyFill="1" applyBorder="1"/>
    <xf numFmtId="0" fontId="2" fillId="3" borderId="8" xfId="0" applyFont="1" applyFill="1" applyBorder="1"/>
    <xf numFmtId="0" fontId="0" fillId="2" borderId="9" xfId="0" applyFill="1" applyBorder="1"/>
    <xf numFmtId="164" fontId="0" fillId="2" borderId="9" xfId="0" applyNumberFormat="1" applyFill="1" applyBorder="1"/>
    <xf numFmtId="164" fontId="0" fillId="2" borderId="10" xfId="0" applyNumberFormat="1" applyFill="1" applyBorder="1"/>
    <xf numFmtId="0" fontId="2" fillId="4" borderId="5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10" fontId="0" fillId="0" borderId="0" xfId="0" applyNumberFormat="1"/>
    <xf numFmtId="8" fontId="0" fillId="0" borderId="0" xfId="0" applyNumberFormat="1"/>
    <xf numFmtId="165" fontId="0" fillId="0" borderId="0" xfId="0" applyNumberFormat="1"/>
    <xf numFmtId="8" fontId="0" fillId="2" borderId="11" xfId="0" applyNumberFormat="1" applyFill="1" applyBorder="1"/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5" xfId="0" applyFont="1" applyBorder="1" applyAlignment="1">
      <alignment horizontal="center"/>
    </xf>
    <xf numFmtId="165" fontId="0" fillId="0" borderId="5" xfId="0" applyNumberFormat="1" applyBorder="1"/>
    <xf numFmtId="10" fontId="0" fillId="0" borderId="5" xfId="0" applyNumberFormat="1" applyBorder="1"/>
    <xf numFmtId="165" fontId="0" fillId="2" borderId="12" xfId="0" applyNumberFormat="1" applyFill="1" applyBorder="1"/>
    <xf numFmtId="10" fontId="0" fillId="2" borderId="13" xfId="0" applyNumberFormat="1" applyFill="1" applyBorder="1"/>
    <xf numFmtId="10" fontId="0" fillId="2" borderId="12" xfId="0" applyNumberFormat="1" applyFill="1" applyBorder="1"/>
    <xf numFmtId="8" fontId="0" fillId="2" borderId="12" xfId="0" applyNumberFormat="1" applyFill="1" applyBorder="1"/>
    <xf numFmtId="0" fontId="3" fillId="0" borderId="0" xfId="0" applyFont="1" applyAlignment="1">
      <alignment wrapText="1"/>
    </xf>
    <xf numFmtId="165" fontId="0" fillId="2" borderId="14" xfId="0" applyNumberForma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165" fontId="0" fillId="2" borderId="16" xfId="0" applyNumberFormat="1" applyFill="1" applyBorder="1" applyAlignment="1">
      <alignment horizontal="center"/>
    </xf>
    <xf numFmtId="165" fontId="0" fillId="2" borderId="17" xfId="0" applyNumberFormat="1" applyFill="1" applyBorder="1" applyAlignment="1">
      <alignment horizontal="center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4" fillId="3" borderId="0" xfId="0" applyFont="1" applyFill="1" applyAlignment="1">
      <alignment horizontal="center"/>
    </xf>
    <xf numFmtId="0" fontId="1" fillId="0" borderId="2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1EE03A5-59A5-8641-9252-B16748F44CE6}">
  <we:reference id="8db4248b-3b9d-4fb7-989c-eae74deb6253" version="2.0.1.0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CB61D-C7B1-1B4B-BAC5-2896ED214592}">
  <dimension ref="B1:K35"/>
  <sheetViews>
    <sheetView workbookViewId="0">
      <selection activeCell="I20" sqref="I20"/>
    </sheetView>
  </sheetViews>
  <sheetFormatPr baseColWidth="10" defaultRowHeight="16" x14ac:dyDescent="0.2"/>
  <cols>
    <col min="1" max="1" width="7.6640625" customWidth="1"/>
    <col min="2" max="2" width="11.6640625" customWidth="1"/>
    <col min="3" max="3" width="20.83203125" customWidth="1"/>
    <col min="4" max="5" width="13.33203125" customWidth="1"/>
    <col min="8" max="8" width="7.6640625" customWidth="1"/>
    <col min="9" max="9" width="15" customWidth="1"/>
    <col min="10" max="10" width="4.6640625" customWidth="1"/>
    <col min="11" max="11" width="36.6640625" customWidth="1"/>
  </cols>
  <sheetData>
    <row r="1" spans="2:11" ht="17" thickBot="1" x14ac:dyDescent="0.25">
      <c r="C1" s="1"/>
      <c r="D1" s="1"/>
      <c r="E1" s="1"/>
      <c r="F1" s="1"/>
      <c r="G1" s="1"/>
      <c r="H1" s="1"/>
    </row>
    <row r="2" spans="2:11" x14ac:dyDescent="0.2">
      <c r="B2" s="16" t="s">
        <v>0</v>
      </c>
      <c r="C2" s="17"/>
      <c r="D2" s="17"/>
      <c r="E2" s="17"/>
      <c r="F2" s="17"/>
      <c r="G2" s="18"/>
      <c r="I2" s="16" t="s">
        <v>1</v>
      </c>
      <c r="J2" s="17"/>
      <c r="K2" s="18"/>
    </row>
    <row r="3" spans="2:11" ht="17" thickBot="1" x14ac:dyDescent="0.25">
      <c r="B3" s="7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13" t="s">
        <v>7</v>
      </c>
      <c r="I3" s="7" t="s">
        <v>8</v>
      </c>
      <c r="J3" s="5"/>
      <c r="K3" s="22" t="s">
        <v>9</v>
      </c>
    </row>
    <row r="4" spans="2:11" ht="17" thickBot="1" x14ac:dyDescent="0.25">
      <c r="B4" s="8" t="s">
        <v>10</v>
      </c>
      <c r="C4" t="s">
        <v>11</v>
      </c>
      <c r="D4" s="1">
        <v>91371201</v>
      </c>
      <c r="E4" s="1">
        <v>9496238</v>
      </c>
      <c r="F4" s="3">
        <v>72</v>
      </c>
      <c r="G4" s="14">
        <v>94</v>
      </c>
      <c r="I4" s="19">
        <f>COUNT(G4:G33)</f>
        <v>26</v>
      </c>
      <c r="K4" s="23" t="s">
        <v>12</v>
      </c>
    </row>
    <row r="5" spans="2:11" ht="17" thickBot="1" x14ac:dyDescent="0.25">
      <c r="B5" s="8" t="s">
        <v>10</v>
      </c>
      <c r="C5" t="s">
        <v>13</v>
      </c>
      <c r="D5" s="1">
        <v>107693747</v>
      </c>
      <c r="E5" s="1">
        <v>15152000</v>
      </c>
      <c r="F5" s="3">
        <v>93</v>
      </c>
      <c r="G5" s="14">
        <v>77</v>
      </c>
      <c r="I5" s="8"/>
      <c r="K5" s="23"/>
    </row>
    <row r="6" spans="2:11" ht="17" thickBot="1" x14ac:dyDescent="0.25">
      <c r="B6" s="8" t="s">
        <v>10</v>
      </c>
      <c r="C6" t="s">
        <v>14</v>
      </c>
      <c r="D6" s="1">
        <v>114631137</v>
      </c>
      <c r="E6" s="1">
        <v>18092238</v>
      </c>
      <c r="F6" s="3">
        <v>47</v>
      </c>
      <c r="G6" s="14">
        <v>79</v>
      </c>
      <c r="I6" s="19">
        <f>COUNTA(G4:G33)</f>
        <v>30</v>
      </c>
      <c r="K6" s="23" t="s">
        <v>15</v>
      </c>
    </row>
    <row r="7" spans="2:11" ht="17" thickBot="1" x14ac:dyDescent="0.25">
      <c r="B7" s="8" t="s">
        <v>10</v>
      </c>
      <c r="C7" t="s">
        <v>16</v>
      </c>
      <c r="D7" s="1">
        <v>125256003</v>
      </c>
      <c r="E7" s="6">
        <v>15106000</v>
      </c>
      <c r="F7" s="3">
        <v>101</v>
      </c>
      <c r="G7" s="14">
        <v>74</v>
      </c>
      <c r="I7" s="8"/>
      <c r="K7" s="23"/>
    </row>
    <row r="8" spans="2:11" ht="17" thickBot="1" x14ac:dyDescent="0.25">
      <c r="B8" s="8" t="s">
        <v>10</v>
      </c>
      <c r="C8" t="s">
        <v>17</v>
      </c>
      <c r="D8" s="1">
        <v>104773003</v>
      </c>
      <c r="E8" s="1">
        <v>23873745</v>
      </c>
      <c r="F8" s="3">
        <v>59</v>
      </c>
      <c r="G8" s="14">
        <v>75</v>
      </c>
      <c r="I8" s="20">
        <f>SUM(E4:E33)</f>
        <v>454222925</v>
      </c>
      <c r="K8" s="23" t="s">
        <v>18</v>
      </c>
    </row>
    <row r="9" spans="2:11" ht="17" thickBot="1" x14ac:dyDescent="0.25">
      <c r="B9" s="8" t="s">
        <v>19</v>
      </c>
      <c r="C9" t="s">
        <v>20</v>
      </c>
      <c r="D9" s="1">
        <v>73370109</v>
      </c>
      <c r="E9" s="1">
        <v>10037084</v>
      </c>
      <c r="F9" s="3">
        <v>54</v>
      </c>
      <c r="G9" s="14">
        <v>76</v>
      </c>
      <c r="I9" s="8"/>
      <c r="K9" s="23"/>
    </row>
    <row r="10" spans="2:11" ht="17" thickBot="1" x14ac:dyDescent="0.25">
      <c r="B10" s="8" t="s">
        <v>19</v>
      </c>
      <c r="C10" t="s">
        <v>21</v>
      </c>
      <c r="D10" s="1">
        <v>229196106</v>
      </c>
      <c r="E10" s="1">
        <v>20983333</v>
      </c>
      <c r="F10" s="3">
        <v>84</v>
      </c>
      <c r="G10" s="14">
        <v>88</v>
      </c>
      <c r="I10" s="20">
        <f>SUM(D4:D33)</f>
        <v>4158487705</v>
      </c>
      <c r="K10" s="23" t="s">
        <v>22</v>
      </c>
    </row>
    <row r="11" spans="2:11" ht="17" thickBot="1" x14ac:dyDescent="0.25">
      <c r="B11" s="8" t="s">
        <v>19</v>
      </c>
      <c r="C11" t="s">
        <v>23</v>
      </c>
      <c r="D11" s="1">
        <v>223019037</v>
      </c>
      <c r="E11" s="1">
        <v>20991318</v>
      </c>
      <c r="F11" s="3">
        <v>103</v>
      </c>
      <c r="G11" s="14">
        <v>67</v>
      </c>
      <c r="I11" s="8"/>
      <c r="K11" s="23"/>
    </row>
    <row r="12" spans="2:11" ht="17" thickBot="1" x14ac:dyDescent="0.25">
      <c r="B12" s="8" t="s">
        <v>19</v>
      </c>
      <c r="C12" t="s">
        <v>24</v>
      </c>
      <c r="D12" s="1">
        <v>64178722</v>
      </c>
      <c r="E12" s="1" t="s">
        <v>25</v>
      </c>
      <c r="F12" s="3">
        <v>96</v>
      </c>
      <c r="G12" s="14" t="s">
        <v>25</v>
      </c>
      <c r="I12" s="20">
        <f>AVERAGE(E4:E33)</f>
        <v>17470112.5</v>
      </c>
      <c r="K12" s="23" t="s">
        <v>26</v>
      </c>
    </row>
    <row r="13" spans="2:11" ht="17" thickBot="1" x14ac:dyDescent="0.25">
      <c r="B13" s="8" t="s">
        <v>19</v>
      </c>
      <c r="C13" t="s">
        <v>27</v>
      </c>
      <c r="D13" s="1">
        <v>111371067</v>
      </c>
      <c r="E13" s="1">
        <v>18486834</v>
      </c>
      <c r="F13" s="3">
        <v>67</v>
      </c>
      <c r="G13" s="14">
        <v>86</v>
      </c>
      <c r="I13" s="8"/>
      <c r="K13" s="23"/>
    </row>
    <row r="14" spans="2:11" ht="17" thickBot="1" x14ac:dyDescent="0.25">
      <c r="B14" s="8" t="s">
        <v>28</v>
      </c>
      <c r="C14" t="s">
        <v>29</v>
      </c>
      <c r="D14" s="1">
        <v>168804925</v>
      </c>
      <c r="E14" s="1">
        <v>18830000</v>
      </c>
      <c r="F14" s="3">
        <v>107</v>
      </c>
      <c r="G14" s="14">
        <v>75</v>
      </c>
      <c r="I14" s="20">
        <f>AVERAGE(D4:D33)</f>
        <v>138616256.83333334</v>
      </c>
      <c r="K14" s="23" t="s">
        <v>30</v>
      </c>
    </row>
    <row r="15" spans="2:11" ht="17" thickBot="1" x14ac:dyDescent="0.25">
      <c r="B15" s="8" t="s">
        <v>28</v>
      </c>
      <c r="C15" t="s">
        <v>31</v>
      </c>
      <c r="D15" s="1">
        <v>161270385</v>
      </c>
      <c r="E15" s="1">
        <v>21870000</v>
      </c>
      <c r="F15" s="3">
        <v>72</v>
      </c>
      <c r="G15" s="14">
        <v>80</v>
      </c>
      <c r="I15" s="8"/>
      <c r="K15" s="23"/>
    </row>
    <row r="16" spans="2:11" ht="17" thickBot="1" x14ac:dyDescent="0.25">
      <c r="B16" s="8" t="s">
        <v>28</v>
      </c>
      <c r="C16" t="s">
        <v>32</v>
      </c>
      <c r="D16" s="1">
        <v>93394531</v>
      </c>
      <c r="E16" s="1">
        <v>19987501</v>
      </c>
      <c r="F16" s="3">
        <v>97</v>
      </c>
      <c r="G16" s="14">
        <v>103</v>
      </c>
      <c r="I16" s="20">
        <f>MAX(E4:E33)</f>
        <v>23873745</v>
      </c>
      <c r="K16" s="23" t="s">
        <v>33</v>
      </c>
    </row>
    <row r="17" spans="2:11" ht="17" thickBot="1" x14ac:dyDescent="0.25">
      <c r="B17" s="8" t="s">
        <v>28</v>
      </c>
      <c r="C17" t="s">
        <v>34</v>
      </c>
      <c r="D17" s="1">
        <v>144391293</v>
      </c>
      <c r="E17" s="1">
        <v>12841667</v>
      </c>
      <c r="F17" s="3">
        <v>68</v>
      </c>
      <c r="G17" s="14">
        <v>77</v>
      </c>
      <c r="I17" s="8"/>
      <c r="K17" s="23"/>
    </row>
    <row r="18" spans="2:11" ht="17" thickBot="1" x14ac:dyDescent="0.25">
      <c r="B18" s="8" t="s">
        <v>28</v>
      </c>
      <c r="C18" t="s">
        <v>35</v>
      </c>
      <c r="D18" s="1">
        <v>148538766</v>
      </c>
      <c r="E18" s="1">
        <v>15104372</v>
      </c>
      <c r="F18" s="3">
        <v>78</v>
      </c>
      <c r="G18" s="14">
        <v>83</v>
      </c>
      <c r="I18" s="21">
        <f>MIN(D4:D33)</f>
        <v>64178722</v>
      </c>
      <c r="J18" s="10"/>
      <c r="K18" s="24" t="s">
        <v>36</v>
      </c>
    </row>
    <row r="19" spans="2:11" x14ac:dyDescent="0.2">
      <c r="B19" s="8" t="s">
        <v>37</v>
      </c>
      <c r="C19" t="s">
        <v>38</v>
      </c>
      <c r="D19" s="1">
        <v>221590085</v>
      </c>
      <c r="E19" s="1">
        <v>14496000</v>
      </c>
      <c r="F19" s="3">
        <v>84</v>
      </c>
      <c r="G19" s="14">
        <v>77</v>
      </c>
    </row>
    <row r="20" spans="2:11" x14ac:dyDescent="0.2">
      <c r="B20" s="8" t="s">
        <v>37</v>
      </c>
      <c r="C20" t="s">
        <v>39</v>
      </c>
      <c r="D20" s="1">
        <v>128391569</v>
      </c>
      <c r="E20" s="1">
        <v>14769500</v>
      </c>
      <c r="F20" s="3">
        <v>75</v>
      </c>
      <c r="G20" s="14">
        <v>91</v>
      </c>
      <c r="I20" s="3"/>
      <c r="J20" s="2"/>
    </row>
    <row r="21" spans="2:11" x14ac:dyDescent="0.2">
      <c r="B21" s="8" t="s">
        <v>37</v>
      </c>
      <c r="C21" t="s">
        <v>40</v>
      </c>
      <c r="D21" s="1">
        <v>135889019</v>
      </c>
      <c r="E21" s="1">
        <v>20019167</v>
      </c>
      <c r="F21" s="3">
        <v>89</v>
      </c>
      <c r="G21" s="14">
        <v>74</v>
      </c>
    </row>
    <row r="22" spans="2:11" x14ac:dyDescent="0.2">
      <c r="B22" s="8" t="s">
        <v>37</v>
      </c>
      <c r="C22" t="s">
        <v>41</v>
      </c>
      <c r="D22" s="1">
        <v>72731474</v>
      </c>
      <c r="E22" s="1">
        <v>15656000</v>
      </c>
      <c r="F22" s="3">
        <v>69</v>
      </c>
      <c r="G22" s="14">
        <v>95</v>
      </c>
    </row>
    <row r="23" spans="2:11" x14ac:dyDescent="0.2">
      <c r="B23" s="8" t="s">
        <v>37</v>
      </c>
      <c r="C23" t="s">
        <v>42</v>
      </c>
      <c r="D23" s="1">
        <v>174317164</v>
      </c>
      <c r="E23" s="1">
        <v>20923334</v>
      </c>
      <c r="F23" s="3">
        <v>91</v>
      </c>
      <c r="G23" s="14">
        <v>70</v>
      </c>
    </row>
    <row r="24" spans="2:11" x14ac:dyDescent="0.2">
      <c r="B24" s="8" t="s">
        <v>43</v>
      </c>
      <c r="C24" t="s">
        <v>44</v>
      </c>
      <c r="D24" s="1">
        <v>143947963</v>
      </c>
      <c r="E24" s="1">
        <v>13328334</v>
      </c>
      <c r="F24" s="3">
        <v>97</v>
      </c>
      <c r="G24" s="14">
        <v>65</v>
      </c>
    </row>
    <row r="25" spans="2:11" x14ac:dyDescent="0.2">
      <c r="B25" s="8" t="s">
        <v>43</v>
      </c>
      <c r="C25" t="s">
        <v>45</v>
      </c>
      <c r="D25" s="1">
        <v>146335812</v>
      </c>
      <c r="E25" s="1">
        <v>22418834</v>
      </c>
      <c r="F25" s="3">
        <v>86</v>
      </c>
      <c r="G25" s="14">
        <v>91</v>
      </c>
    </row>
    <row r="26" spans="2:11" x14ac:dyDescent="0.2">
      <c r="B26" s="8" t="s">
        <v>43</v>
      </c>
      <c r="C26" t="s">
        <v>46</v>
      </c>
      <c r="D26" s="1">
        <v>160192244</v>
      </c>
      <c r="E26" s="1">
        <v>13953667</v>
      </c>
      <c r="F26" s="3">
        <v>81</v>
      </c>
      <c r="G26" s="14">
        <v>77</v>
      </c>
    </row>
    <row r="27" spans="2:11" x14ac:dyDescent="0.2">
      <c r="B27" s="8" t="s">
        <v>43</v>
      </c>
      <c r="C27" t="s">
        <v>47</v>
      </c>
      <c r="D27" s="1">
        <v>172307808</v>
      </c>
      <c r="E27" s="1">
        <v>16656388</v>
      </c>
      <c r="F27" s="3">
        <v>93</v>
      </c>
      <c r="G27" s="14">
        <v>85</v>
      </c>
    </row>
    <row r="28" spans="2:11" x14ac:dyDescent="0.2">
      <c r="B28" s="8" t="s">
        <v>43</v>
      </c>
      <c r="C28" t="s">
        <v>48</v>
      </c>
      <c r="D28" s="1">
        <v>75596271</v>
      </c>
      <c r="E28" s="1" t="s">
        <v>25</v>
      </c>
      <c r="F28" s="3">
        <v>57</v>
      </c>
      <c r="G28" s="14" t="s">
        <v>25</v>
      </c>
    </row>
    <row r="29" spans="2:11" x14ac:dyDescent="0.2">
      <c r="B29" s="8" t="s">
        <v>49</v>
      </c>
      <c r="C29" t="s">
        <v>50</v>
      </c>
      <c r="D29" s="1">
        <v>207000814</v>
      </c>
      <c r="E29" s="6">
        <v>21618704</v>
      </c>
      <c r="F29" s="3">
        <v>106</v>
      </c>
      <c r="G29" s="14">
        <v>86</v>
      </c>
    </row>
    <row r="30" spans="2:11" x14ac:dyDescent="0.2">
      <c r="B30" s="8" t="s">
        <v>49</v>
      </c>
      <c r="C30" t="s">
        <v>51</v>
      </c>
      <c r="D30" s="1">
        <v>118927905</v>
      </c>
      <c r="E30" s="6" t="s">
        <v>25</v>
      </c>
      <c r="F30" s="3">
        <v>85</v>
      </c>
      <c r="G30" s="14" t="s">
        <v>25</v>
      </c>
    </row>
    <row r="31" spans="2:11" x14ac:dyDescent="0.2">
      <c r="B31" s="8" t="s">
        <v>49</v>
      </c>
      <c r="C31" t="s">
        <v>52</v>
      </c>
      <c r="D31" s="1">
        <v>157162629</v>
      </c>
      <c r="E31" s="6" t="s">
        <v>25</v>
      </c>
      <c r="F31" s="3">
        <v>71</v>
      </c>
      <c r="G31" s="14" t="s">
        <v>25</v>
      </c>
    </row>
    <row r="32" spans="2:11" x14ac:dyDescent="0.2">
      <c r="B32" s="8" t="s">
        <v>49</v>
      </c>
      <c r="C32" t="s">
        <v>53</v>
      </c>
      <c r="D32" s="1">
        <v>104254790</v>
      </c>
      <c r="E32" s="1">
        <v>18588334</v>
      </c>
      <c r="F32" s="3">
        <v>70</v>
      </c>
      <c r="G32" s="14">
        <v>75</v>
      </c>
    </row>
    <row r="33" spans="2:7" ht="17" thickBot="1" x14ac:dyDescent="0.25">
      <c r="B33" s="9" t="s">
        <v>49</v>
      </c>
      <c r="C33" s="10" t="s">
        <v>54</v>
      </c>
      <c r="D33" s="11">
        <v>178582126</v>
      </c>
      <c r="E33" s="11">
        <v>20942333</v>
      </c>
      <c r="F33" s="12">
        <v>77</v>
      </c>
      <c r="G33" s="15">
        <v>85</v>
      </c>
    </row>
    <row r="34" spans="2:7" x14ac:dyDescent="0.2">
      <c r="B34" t="s">
        <v>55</v>
      </c>
    </row>
    <row r="35" spans="2:7" x14ac:dyDescent="0.2">
      <c r="B35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04C2F-1E92-CF4E-8C5B-8C623110A95D}">
  <dimension ref="A1:H43"/>
  <sheetViews>
    <sheetView tabSelected="1" topLeftCell="B1" workbookViewId="0">
      <selection activeCell="C10" sqref="C10"/>
    </sheetView>
  </sheetViews>
  <sheetFormatPr baseColWidth="10" defaultRowHeight="16" x14ac:dyDescent="0.2"/>
  <cols>
    <col min="1" max="1" width="7.6640625" customWidth="1"/>
    <col min="2" max="2" width="30" customWidth="1"/>
    <col min="3" max="4" width="16.33203125" customWidth="1"/>
    <col min="5" max="5" width="26.83203125" customWidth="1"/>
    <col min="6" max="6" width="16.33203125" customWidth="1"/>
  </cols>
  <sheetData>
    <row r="1" spans="1:8" x14ac:dyDescent="0.2">
      <c r="A1" s="26"/>
      <c r="B1" s="26"/>
      <c r="E1" s="26"/>
      <c r="F1" s="26"/>
      <c r="G1" s="26"/>
      <c r="H1" s="27"/>
    </row>
    <row r="2" spans="1:8" ht="20" x14ac:dyDescent="0.25">
      <c r="B2" s="50" t="s">
        <v>57</v>
      </c>
      <c r="C2" s="50"/>
      <c r="D2" s="50"/>
      <c r="E2" s="50"/>
      <c r="F2" s="50"/>
    </row>
    <row r="3" spans="1:8" ht="17" thickBot="1" x14ac:dyDescent="0.25"/>
    <row r="4" spans="1:8" x14ac:dyDescent="0.2">
      <c r="B4" s="16" t="s">
        <v>58</v>
      </c>
      <c r="C4" s="18"/>
      <c r="E4" s="16" t="s">
        <v>59</v>
      </c>
      <c r="F4" s="18"/>
    </row>
    <row r="5" spans="1:8" x14ac:dyDescent="0.2">
      <c r="B5" s="8"/>
      <c r="C5" s="23"/>
      <c r="E5" s="8"/>
      <c r="F5" s="23"/>
    </row>
    <row r="6" spans="1:8" x14ac:dyDescent="0.2">
      <c r="B6" s="30" t="s">
        <v>60</v>
      </c>
      <c r="C6" s="32">
        <v>-175000</v>
      </c>
      <c r="E6" s="30" t="s">
        <v>61</v>
      </c>
      <c r="F6" s="32">
        <v>-1200</v>
      </c>
    </row>
    <row r="7" spans="1:8" x14ac:dyDescent="0.2">
      <c r="B7" s="30" t="s">
        <v>62</v>
      </c>
      <c r="C7" s="33">
        <v>4.2500000000000003E-2</v>
      </c>
      <c r="E7" s="30" t="s">
        <v>62</v>
      </c>
      <c r="F7" s="33">
        <v>4.2500000000000003E-2</v>
      </c>
    </row>
    <row r="8" spans="1:8" x14ac:dyDescent="0.2">
      <c r="B8" s="30" t="s">
        <v>63</v>
      </c>
      <c r="C8" s="23">
        <v>360</v>
      </c>
      <c r="E8" s="30" t="s">
        <v>63</v>
      </c>
      <c r="F8" s="23">
        <v>360</v>
      </c>
    </row>
    <row r="9" spans="1:8" x14ac:dyDescent="0.2">
      <c r="B9" s="8"/>
      <c r="C9" s="23"/>
      <c r="E9" s="8"/>
      <c r="F9" s="23"/>
    </row>
    <row r="10" spans="1:8" x14ac:dyDescent="0.2">
      <c r="B10" s="30" t="s">
        <v>61</v>
      </c>
      <c r="C10" s="37">
        <f>PMT(C7/12,C8,C6,,)</f>
        <v>860.89480938909639</v>
      </c>
      <c r="E10" s="30" t="s">
        <v>60</v>
      </c>
      <c r="F10" s="37">
        <f>PV(F7/12,F8,F6,,)</f>
        <v>243932.24086113682</v>
      </c>
    </row>
    <row r="11" spans="1:8" x14ac:dyDescent="0.2">
      <c r="B11" s="8"/>
      <c r="C11" s="23"/>
      <c r="E11" s="8"/>
      <c r="F11" s="23"/>
    </row>
    <row r="12" spans="1:8" x14ac:dyDescent="0.2">
      <c r="B12" s="44" t="s">
        <v>64</v>
      </c>
      <c r="C12" s="46"/>
      <c r="E12" s="44" t="s">
        <v>64</v>
      </c>
      <c r="F12" s="46"/>
    </row>
    <row r="13" spans="1:8" ht="17" thickBot="1" x14ac:dyDescent="0.25">
      <c r="B13" s="47"/>
      <c r="C13" s="49"/>
      <c r="E13" s="47"/>
      <c r="F13" s="49"/>
    </row>
    <row r="14" spans="1:8" x14ac:dyDescent="0.2">
      <c r="B14" s="38"/>
      <c r="C14" s="38"/>
    </row>
    <row r="15" spans="1:8" ht="17" thickBot="1" x14ac:dyDescent="0.25"/>
    <row r="16" spans="1:8" x14ac:dyDescent="0.2">
      <c r="B16" s="16" t="s">
        <v>65</v>
      </c>
      <c r="C16" s="18"/>
      <c r="E16" s="16" t="s">
        <v>66</v>
      </c>
      <c r="F16" s="18"/>
    </row>
    <row r="17" spans="2:6" x14ac:dyDescent="0.2">
      <c r="B17" s="8"/>
      <c r="C17" s="23"/>
      <c r="E17" s="8"/>
      <c r="F17" s="23"/>
    </row>
    <row r="18" spans="2:6" x14ac:dyDescent="0.2">
      <c r="B18" s="30" t="s">
        <v>60</v>
      </c>
      <c r="C18" s="32">
        <v>-212000</v>
      </c>
      <c r="E18" s="30" t="s">
        <v>67</v>
      </c>
      <c r="F18" s="32">
        <v>-75</v>
      </c>
    </row>
    <row r="19" spans="2:6" x14ac:dyDescent="0.2">
      <c r="B19" s="30" t="s">
        <v>61</v>
      </c>
      <c r="C19" s="32">
        <v>950</v>
      </c>
      <c r="E19" s="30" t="s">
        <v>62</v>
      </c>
      <c r="F19" s="33">
        <v>2.75E-2</v>
      </c>
    </row>
    <row r="20" spans="2:6" x14ac:dyDescent="0.2">
      <c r="B20" s="30" t="s">
        <v>63</v>
      </c>
      <c r="C20" s="23">
        <v>360</v>
      </c>
      <c r="E20" s="30" t="s">
        <v>68</v>
      </c>
      <c r="F20" s="23">
        <v>36</v>
      </c>
    </row>
    <row r="21" spans="2:6" x14ac:dyDescent="0.2">
      <c r="B21" s="8"/>
      <c r="C21" s="23"/>
      <c r="E21" s="8"/>
      <c r="F21" s="23"/>
    </row>
    <row r="22" spans="2:6" x14ac:dyDescent="0.2">
      <c r="B22" s="30" t="s">
        <v>69</v>
      </c>
      <c r="C22" s="35">
        <f>RATE(C20,C19,C18)*12</f>
        <v>3.4833037838459577E-2</v>
      </c>
      <c r="E22" s="30" t="s">
        <v>70</v>
      </c>
      <c r="F22" s="37">
        <f>FV(F19/12,F20,F18,,0)</f>
        <v>2811.1475139763807</v>
      </c>
    </row>
    <row r="23" spans="2:6" x14ac:dyDescent="0.2">
      <c r="B23" s="30" t="s">
        <v>71</v>
      </c>
      <c r="C23" s="36">
        <f>EFFECT(C22,12)</f>
        <v>3.5394568429263806E-2</v>
      </c>
      <c r="E23" s="30"/>
      <c r="F23" s="23"/>
    </row>
    <row r="24" spans="2:6" x14ac:dyDescent="0.2">
      <c r="B24" s="8"/>
      <c r="C24" s="23"/>
      <c r="E24" s="8"/>
      <c r="F24" s="23"/>
    </row>
    <row r="25" spans="2:6" x14ac:dyDescent="0.2">
      <c r="B25" s="44" t="s">
        <v>72</v>
      </c>
      <c r="C25" s="46"/>
      <c r="E25" s="44" t="s">
        <v>64</v>
      </c>
      <c r="F25" s="46"/>
    </row>
    <row r="26" spans="2:6" ht="17" thickBot="1" x14ac:dyDescent="0.25">
      <c r="B26" s="47"/>
      <c r="C26" s="49"/>
      <c r="E26" s="47"/>
      <c r="F26" s="49"/>
    </row>
    <row r="28" spans="2:6" ht="17" thickBot="1" x14ac:dyDescent="0.25"/>
    <row r="29" spans="2:6" x14ac:dyDescent="0.2">
      <c r="B29" s="16" t="s">
        <v>73</v>
      </c>
      <c r="C29" s="17"/>
      <c r="D29" s="18"/>
    </row>
    <row r="30" spans="2:6" x14ac:dyDescent="0.2">
      <c r="B30" s="8"/>
      <c r="D30" s="23"/>
    </row>
    <row r="31" spans="2:6" x14ac:dyDescent="0.2">
      <c r="B31" s="8"/>
      <c r="C31" s="29" t="s">
        <v>74</v>
      </c>
      <c r="D31" s="31" t="s">
        <v>75</v>
      </c>
    </row>
    <row r="32" spans="2:6" x14ac:dyDescent="0.2">
      <c r="B32" s="30" t="s">
        <v>60</v>
      </c>
      <c r="C32" s="27">
        <v>-310000</v>
      </c>
      <c r="D32" s="32">
        <v>-310000</v>
      </c>
    </row>
    <row r="33" spans="2:4" x14ac:dyDescent="0.2">
      <c r="B33" s="30" t="s">
        <v>62</v>
      </c>
      <c r="C33" s="25">
        <v>4.4999999999999998E-2</v>
      </c>
      <c r="D33" s="33">
        <v>4.4999999999999998E-2</v>
      </c>
    </row>
    <row r="34" spans="2:4" x14ac:dyDescent="0.2">
      <c r="B34" s="30" t="s">
        <v>63</v>
      </c>
      <c r="C34">
        <v>180</v>
      </c>
      <c r="D34" s="23">
        <v>360</v>
      </c>
    </row>
    <row r="35" spans="2:4" x14ac:dyDescent="0.2">
      <c r="B35" s="8"/>
      <c r="D35" s="23"/>
    </row>
    <row r="36" spans="2:4" x14ac:dyDescent="0.2">
      <c r="B36" s="30" t="s">
        <v>61</v>
      </c>
      <c r="C36" s="28">
        <f>PMT(C33/12,C34,C32,,)</f>
        <v>2371.4791953217</v>
      </c>
      <c r="D36" s="28">
        <f>PMT(D33/12,D34,D32,,)</f>
        <v>1570.7244604602301</v>
      </c>
    </row>
    <row r="37" spans="2:4" x14ac:dyDescent="0.2">
      <c r="B37" s="8"/>
      <c r="D37" s="23"/>
    </row>
    <row r="38" spans="2:4" x14ac:dyDescent="0.2">
      <c r="B38" s="30" t="s">
        <v>76</v>
      </c>
      <c r="C38" s="27">
        <f>C36*C34</f>
        <v>426866.25515790598</v>
      </c>
      <c r="D38" s="32">
        <f>D36*D34</f>
        <v>565460.80576568283</v>
      </c>
    </row>
    <row r="39" spans="2:4" x14ac:dyDescent="0.2">
      <c r="B39" s="8"/>
      <c r="D39" s="23"/>
    </row>
    <row r="40" spans="2:4" x14ac:dyDescent="0.2">
      <c r="B40" s="51" t="s">
        <v>77</v>
      </c>
      <c r="C40" s="52"/>
      <c r="D40" s="34">
        <f>D38-C38</f>
        <v>138594.55060777685</v>
      </c>
    </row>
    <row r="41" spans="2:4" x14ac:dyDescent="0.2">
      <c r="B41" s="51"/>
      <c r="C41" s="52"/>
      <c r="D41" s="23"/>
    </row>
    <row r="42" spans="2:4" x14ac:dyDescent="0.2">
      <c r="B42" s="44" t="s">
        <v>78</v>
      </c>
      <c r="C42" s="45"/>
      <c r="D42" s="46"/>
    </row>
    <row r="43" spans="2:4" ht="17" thickBot="1" x14ac:dyDescent="0.25">
      <c r="B43" s="47"/>
      <c r="C43" s="48"/>
      <c r="D43" s="49"/>
    </row>
  </sheetData>
  <mergeCells count="7">
    <mergeCell ref="B42:D43"/>
    <mergeCell ref="B2:F2"/>
    <mergeCell ref="B12:C13"/>
    <mergeCell ref="E12:F13"/>
    <mergeCell ref="B25:C26"/>
    <mergeCell ref="E25:F26"/>
    <mergeCell ref="B40:C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B0945-B875-7544-ADDE-B93F37D88B62}">
  <dimension ref="A1:E18"/>
  <sheetViews>
    <sheetView workbookViewId="0">
      <selection activeCell="E18" sqref="E18"/>
    </sheetView>
  </sheetViews>
  <sheetFormatPr baseColWidth="10" defaultRowHeight="16" x14ac:dyDescent="0.2"/>
  <cols>
    <col min="1" max="1" width="7.6640625" customWidth="1"/>
    <col min="2" max="2" width="13.33203125" customWidth="1"/>
    <col min="3" max="3" width="7.6640625" customWidth="1"/>
    <col min="4" max="4" width="8.83203125" customWidth="1"/>
    <col min="5" max="5" width="9.1640625" customWidth="1"/>
  </cols>
  <sheetData>
    <row r="1" spans="1:5" x14ac:dyDescent="0.2">
      <c r="A1" s="27"/>
      <c r="B1" s="27"/>
      <c r="C1" s="27"/>
    </row>
    <row r="2" spans="1:5" x14ac:dyDescent="0.2">
      <c r="B2" s="4" t="s">
        <v>79</v>
      </c>
      <c r="C2" s="25">
        <v>6.7500000000000004E-2</v>
      </c>
    </row>
    <row r="3" spans="1:5" ht="17" thickBot="1" x14ac:dyDescent="0.25"/>
    <row r="4" spans="1:5" x14ac:dyDescent="0.2">
      <c r="B4" s="16" t="s">
        <v>80</v>
      </c>
      <c r="C4" s="17" t="s">
        <v>81</v>
      </c>
      <c r="D4" s="17" t="s">
        <v>82</v>
      </c>
      <c r="E4" s="18" t="s">
        <v>83</v>
      </c>
    </row>
    <row r="5" spans="1:5" x14ac:dyDescent="0.2">
      <c r="B5" s="41">
        <v>578</v>
      </c>
      <c r="C5" s="40">
        <v>42</v>
      </c>
      <c r="D5" s="39">
        <f>C5*C$2</f>
        <v>2.835</v>
      </c>
      <c r="E5" s="42">
        <f>C5+D5</f>
        <v>44.835000000000001</v>
      </c>
    </row>
    <row r="6" spans="1:5" x14ac:dyDescent="0.2">
      <c r="B6" s="41">
        <v>579</v>
      </c>
      <c r="C6" s="40">
        <v>167</v>
      </c>
      <c r="D6" s="39">
        <f t="shared" ref="D6:D17" si="0">C6*C$2</f>
        <v>11.272500000000001</v>
      </c>
      <c r="E6" s="42">
        <f t="shared" ref="E6:E17" si="1">C6+D6</f>
        <v>178.27250000000001</v>
      </c>
    </row>
    <row r="7" spans="1:5" x14ac:dyDescent="0.2">
      <c r="B7" s="41">
        <v>580</v>
      </c>
      <c r="C7" s="40">
        <v>209</v>
      </c>
      <c r="D7" s="39">
        <f t="shared" si="0"/>
        <v>14.107500000000002</v>
      </c>
      <c r="E7" s="42">
        <f t="shared" si="1"/>
        <v>223.10750000000002</v>
      </c>
    </row>
    <row r="8" spans="1:5" x14ac:dyDescent="0.2">
      <c r="B8" s="41">
        <v>581</v>
      </c>
      <c r="C8" s="40">
        <v>142</v>
      </c>
      <c r="D8" s="39">
        <f t="shared" si="0"/>
        <v>9.5850000000000009</v>
      </c>
      <c r="E8" s="42">
        <f t="shared" si="1"/>
        <v>151.58500000000001</v>
      </c>
    </row>
    <row r="9" spans="1:5" x14ac:dyDescent="0.2">
      <c r="B9" s="41">
        <v>582</v>
      </c>
      <c r="C9" s="40">
        <v>234</v>
      </c>
      <c r="D9" s="39">
        <f t="shared" si="0"/>
        <v>15.795000000000002</v>
      </c>
      <c r="E9" s="42">
        <f t="shared" si="1"/>
        <v>249.79500000000002</v>
      </c>
    </row>
    <row r="10" spans="1:5" x14ac:dyDescent="0.2">
      <c r="B10" s="41">
        <v>583</v>
      </c>
      <c r="C10" s="40">
        <v>88</v>
      </c>
      <c r="D10" s="39">
        <f t="shared" si="0"/>
        <v>5.94</v>
      </c>
      <c r="E10" s="42">
        <f t="shared" si="1"/>
        <v>93.94</v>
      </c>
    </row>
    <row r="11" spans="1:5" x14ac:dyDescent="0.2">
      <c r="B11" s="41">
        <v>584</v>
      </c>
      <c r="C11" s="40">
        <v>197</v>
      </c>
      <c r="D11" s="39">
        <f t="shared" si="0"/>
        <v>13.297500000000001</v>
      </c>
      <c r="E11" s="42">
        <f t="shared" si="1"/>
        <v>210.29750000000001</v>
      </c>
    </row>
    <row r="12" spans="1:5" x14ac:dyDescent="0.2">
      <c r="B12" s="41">
        <v>585</v>
      </c>
      <c r="C12" s="40">
        <v>209</v>
      </c>
      <c r="D12" s="39">
        <f t="shared" si="0"/>
        <v>14.107500000000002</v>
      </c>
      <c r="E12" s="42">
        <f t="shared" si="1"/>
        <v>223.10750000000002</v>
      </c>
    </row>
    <row r="13" spans="1:5" x14ac:dyDescent="0.2">
      <c r="B13" s="41">
        <v>586</v>
      </c>
      <c r="C13" s="40">
        <v>163</v>
      </c>
      <c r="D13" s="39">
        <f t="shared" si="0"/>
        <v>11.002500000000001</v>
      </c>
      <c r="E13" s="42">
        <f t="shared" si="1"/>
        <v>174.0025</v>
      </c>
    </row>
    <row r="14" spans="1:5" x14ac:dyDescent="0.2">
      <c r="B14" s="41">
        <v>587</v>
      </c>
      <c r="C14" s="40">
        <v>151</v>
      </c>
      <c r="D14" s="39">
        <f t="shared" si="0"/>
        <v>10.192500000000001</v>
      </c>
      <c r="E14" s="42">
        <f t="shared" si="1"/>
        <v>161.1925</v>
      </c>
    </row>
    <row r="15" spans="1:5" x14ac:dyDescent="0.2">
      <c r="B15" s="41">
        <v>588</v>
      </c>
      <c r="C15" s="40">
        <v>103</v>
      </c>
      <c r="D15" s="39">
        <f t="shared" si="0"/>
        <v>6.9525000000000006</v>
      </c>
      <c r="E15" s="42">
        <f t="shared" si="1"/>
        <v>109.9525</v>
      </c>
    </row>
    <row r="16" spans="1:5" x14ac:dyDescent="0.2">
      <c r="B16" s="41">
        <v>589</v>
      </c>
      <c r="C16" s="40">
        <v>148</v>
      </c>
      <c r="D16" s="39">
        <f t="shared" si="0"/>
        <v>9.99</v>
      </c>
      <c r="E16" s="42">
        <f t="shared" si="1"/>
        <v>157.99</v>
      </c>
    </row>
    <row r="17" spans="2:5" x14ac:dyDescent="0.2">
      <c r="B17" s="41">
        <v>590</v>
      </c>
      <c r="C17" s="40">
        <v>51</v>
      </c>
      <c r="D17" s="39">
        <f t="shared" si="0"/>
        <v>3.4425000000000003</v>
      </c>
      <c r="E17" s="42">
        <f t="shared" si="1"/>
        <v>54.442500000000003</v>
      </c>
    </row>
    <row r="18" spans="2:5" ht="17" thickBot="1" x14ac:dyDescent="0.25">
      <c r="B18" s="53" t="s">
        <v>84</v>
      </c>
      <c r="C18" s="54"/>
      <c r="D18" s="55"/>
      <c r="E18" s="43">
        <f>SUM(E5:E17)</f>
        <v>2032.5200000000004</v>
      </c>
    </row>
  </sheetData>
  <mergeCells count="1">
    <mergeCell ref="B18:D1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<?xml version="1.0" encoding="utf-8"?>
<properties xmlns="http://schemas.myeducator.com/properties/myeducator/atlas_meta_I9WxgiKsdzrc">H4sIAAAAAAAAA+1bbXPbuBH+Kygn7cUdnyKRkux40tzEomh/uF4zudx1Or0bDUyCEhq+HQA6cXP+710AfIFsUqRsMc3cOB8ckHh7sNjdB7uEPluYc7pOYpII6yzJo+jYitMgj4h19rkorZI8viLMOrPG8G9ij61jK2M0ZSssBIkzwa2z8bHFoCmU/g3dCOd4DSNYHo0iEqCrGxTmiS9omkDfBMey7scNIQKRT5QLjnASIJ9EEZQYQX4aZxERBBpzQTI9ajXCmcVl1xX0Wak+Eg9mOOYSM8PJmqwwY/gGulmLiYTrqb8L21Z/HflGl505/HX13+nY+vW4GLvA6NEEJz7FEfKK2bl1e/vrLbQTmH/QwAIiMAUUZ9arPHr9KqKv35GQMJL4BIkNQVGKE0STMGUxlkNAWb3/xXoPY6AJcrHAv1jl+rmqxGydy03hCPqhmzRnlQhHr17AHHKeV1cwVUzk7iCRooBe00DPSRMBCLhADAsi5T+x0XNo4uPIzyP5TraK00Rsopvt1kcS390Jr17rSV/ACkFWQUorddlQqTpNovpdC58GUP3mTb3zb/GN0jfYthQ6g+RmoD6EZ9CHeCAmQAjN/iYF8q54/fybhgm++RPMcGSZuldMJmer1fA9rLVcjFydHBhBV0Q5SlIB+sYY8UWNUNb5IBxME47e/v29AXUidRKLXO63UueQkOAK+x/guWr2fcqFMgr9uMQsIQBscntcITy/j1CvfAtgkBINkVUqtTjZxlnVcF1VAh2PZo+ACr0NsIv9wBqKWOtfi3RfqJohQLsPlvC8XcLzAVRh+WCgp+1ATwcA6t0Deo2jnPQ2qaI1N2pbIfLc9wGlhBDiiJM9QUsPTT5Jx/SvNFekUjo54CPAm+XM32BOkzXCaJPGZIT+ucECfQTG0t6vdI6Z9lboCoYIZRUS+ANBaS6g57PJyewYWBFaM7EGuSh37YzRDcGMo+fOfKwH4kcIRp+O7NmfKyTfwTKkoaSlK/0UR0rS4X9O52uozDlhIY0ITbLc8LcB+SkRNCpfCCokXRe1JMrKcpAmRPrpQn5gciFdl5WwSdJl6gcA/SOuB8lYGl4aA8E5gIY35dOdfSIirxqucxqAk64G+qlpARxfk38ki5LjS3g7N1TZ9X2ifRsRzIlhET341v7j8q1n8O15bXrfS4G8idP8MJzrNXPueQ/O9XY4CG+Lc38+vPs676Zcr9nPevNtmIaf9QYghPNuum0DetIOdKCzwXk3zXp7nA28L3I2OO+m3DYJn7ZLeADKPe+i3C6L+ropVzb0wTnhEMQfAJvaQKVY+0npmXHNqwUNj9Bl+hHFub9RHSUdQ41y2npQ6MbzWE9S8PA2DSt6eOLig3MxjK+s+t2b90uDyvYNhx30FzQ9GEWDSQuaAeXKAWRaIZfKmKSgIEBq/VgbJ0l+t/FRzdF7hMMq56ANe1Gb6Q8FmndYZTweHxPbdhM/L/rExLbdfoCHusozy00exjUvegTGgKRyzXp36H9rSmmB/NehyGTRIzo2ERvx2+R0G6wZwE0GoJNFj5i4DerLHVBfDgC1R1TcAlVlKFug6uzlgaF2xsUdZrUPSX8JSt4AK0C8SxL0W57KpndiYY7SED17ORsXvFvybEnWahSGUkbXyrNpylUBiFzlM3tiy6C5CLkpbwihJLGrWFyye5pUzPHE04/l6W02LqmwEnrFfUFJzBkj1zTNYZeAn0cPygOrlLs2FrdW/WUYgrJT0LXDUZ/TRH1uL+pzdtioU/PI0vOWi50Z4Ueeoyu/4vahQqfZBdrb6LdcoH14F+je58AkI+ymOrQpTyEeJfjJTtwHE/p9irzrzHfj3eHM7YOCtg33bjpSUplVcXJVtg0euzp9K+easg9g4x8pRFrS0NXZ+8m7Hta7dsQ6swfGOXtmBY2wY2lkB3KRw4HgZ6muB0kLNocdyz5pwR3nI888w3s704KHcgHLHonC5qOnZx7ove2jpzfEgX7ZI1XYBvXlDqjmgf6AodKyIf5oUobe2UJTOTqzhY/Sj+119MgftojdDE7uin2I4GTZmUHsML6vKIMIflqGKjroEIxm6OOGaDpbMxzkUkOUh2WE6C9wdYpR+nj07GSGCPY3JRsmMBty5kVuUN1CgV4JskcnRm5Qxh/lJ0FyY2Qg1XP1yVCHTeXHHI0VxvR9HfckxkSVY5eLeCLdL0q6829Pvwjt6rtF2gi92qQms29VrHzISzDOvIl5vT5RD+hk62EW6oa9BOP1CHAARFOA49jbQM0AxxkgwPEaiLZJmL3vwJjCHew7l9cj39cmYGeHgJ2B4PbI+bXBne6AOx1AHzpzfh2W9RXRaksWUPGacdel+hQnk3/OZKzuvYi0+v4mVV1/gQMalS+nI4NE971fM5kVd2iKGdIwfEoC/rEZ0zUY86K2Fmd8cMZ0mxnzogdjujvs2h2cMS+6GdNt9pCu6dDdbQ/pDuXQL3qwprsHa7pfhDUvulmzVcj2DiEPcCy56GbMVqjTHVAHYMyLLsbssqz/C2PuR1rVxc8G0mrNus6/Q88fcpHxAW6Zj46eqPOg1ClSgaNKHfQ3Tl6qtDx7nqrjkAv/37tYAgsshnoYXU7r256XtakUNKluu2BGuZLY4xlz2njp87KBMe/6n2nz3XXHSJXKNlsn9gFSpZc9qLMZqrsDqjsI1Pu0ecdVTttv/cm6Ha7SeQREx3CMbUkwlWcrfOI9Fwj4q3M9ULggOJDRROk2n871ezineivKnjq1qTjlSl4yh7mEDOoUKWSwhoxR6XtKNjiuFLmplXZgBeWoQQMgm+PyDc+IT0NKit/tjaxK7oWzkh+VohQ83iog19VSTeGohxUOApIEeVy+9YEKk7xF1BkjMtNbb0zxu7/iqdDx6VhtGdgnX4EpwBboHw7qVjIaZdQ3X93dJkZiEoAHXClt5MbsckKzp9QabTnadKFAPoFoILRexTShcR6v9E8SYUCJ7bSE+RZWDXI39rZlq6fj2/JHmSsGFgPCECwHBeFg3WTlp7U41I8S4U0U4YzLvp+tcdl6UhbssuCUhWlZmJWFeVk40YXbcuwQ1sQ3Bx369n8L8Lu0hToAAA==</properties>
</file>

<file path=customXml/item2.xml><?xml version="1.0" encoding="utf-8"?>
<properties xmlns="http://schemas.myeducator.com/properties/myeducator/atlas_meta_I9WxgiKsdznC">H4sIAAAAAAAAA+2abW/bNhDHvwqnN00AI7Ac13UN7IXt2I6BOB2aZhgwFAYtnR02EiWQlJOgy3ffkXpMosgaqmookL4wKJE8He/+/PXK8rtFpWQ77gNX1ohHntex/MCNPLBG35PWmkf+BoQ1srr4Z2B/sDpWKFgg1lQp8EMlrVG3Ywkciq2/cRpISXdowZozzwOXbB7INuKOYgHHuZz6uu/qBkARuGdSSUK5SxzwPGwJIE7ghx4owMFSQRhbzSyMLKmnrnHO2szR/lBBfal9FpTvYE2FoA84zVr2sXc50D9D/WN3zW/P/Jo+23TaQ+trJzGcOqioQueYQz0yTz4urcfHr484UlF5G/vlBiwL3Q3TYSyf+Y9xhbnYPx7nYfgC1McFR1wR++NH7V0YoBW0/R5jCjLEqTAPhB95FIf/rlf8OXl99K70S+9+W/aPrWJGkq/qz+bJ+XIDWVoI4yb+ZNknTBIeKPRJCHBU7il2OQFXlHFJpp+uL78UfLV1pqiKsGmZJG8B3A11bvE5G3YRSGWkEj/OqOCAjtmPnczDyUsP46UXHXQDiF0UsAUB3AGy6I8Wp6dPfM06Zd6butv7AXd7BXenL9zdUy+CmtFMxspCZzMOan3CvVbitQSi0C2TrzzbKiCoGAfjquL+eIuTYEtWFxOiUJNSL0IrkhyZLZUE8fgEP79nLgSp5u99z0RjA/bwG3ZGEsSWecB4GBU2hgvXXDEvfaGY0oxJesEL07YbcNAbaks9CR0LFbdlu6wTUH644ZNHDCxkDyiUK5rbDEWwPS/YRZax7UP69DS4ElSUDdxFzKUom/T5umw9ku7hE5+mnEq9rczLey2c+rQYZLSYFGgRKByVM6MhXAzKcDGpg4vB6wIfPMPFuHleTGrwYlCLF4PnvJj/DGBMDgKjMp5tA2P8H4lxhHufvNHi/6DFMKPFNJeMwTcukwoGsiFUDMtQMa2DiuHr0h7mqLi6XjXPiWkNTgzLODHrj2ZPODEsciLrbRgT04OYqIxli5jAbFUwQpm/rahvqlskhUykSELK3LS+eENES4gw//SJBXaW66XXtT82zQi7WwaJszqQsLuvKxv7fi4mzmpgAp0o4cRZf3T2hBM4rACKrLthUJwdBMWBeP46qNA6fUNFW6joZaiYPSsnxnsQWm0NkaJXRopZLVL0KpTdy0kx/nP2ebyYNU+LWR1a9GpVFTishbJidpgW1TFtkRZJ1iqIQWMhxqR40KGPQVI8u3gDRlvAyM82589qi4aBUXqyOa8FjIrDOLvfAjDmdYBRerz5srzot1FezA8DozqmvxQw3iqMNoGRH28unlUYK3rfFCxKzzUXtWBRcRBnF042V+O/mgfFog4oSs81X1YWgzYqi8VhUFTHs0VQYMaeQAJ3HQif8bjXp/fMj3xDhZQUyb9K3mqKlhGRn2meP6spVow3hYjS88zzWoioOISzCyeaq+Vl84g4r4OI0iPNl7XEsI1a4vwwIqrj2SYilpdViGC8AhFvVcSPISLPBkpEgLkPcqqLgm9Yr10A3aEIJlTChqJmjlYXk+O4gjshWlKKbjwgOmv4IAt7Pk2nJHeBuDX3PIhnrp7okQYq+g6KKUBC+iACtK5f3DEen01JUzACdW7ixB9hYJmjFUEVdkUiKSTvjNOuCy6hW5SNsW/MSqAy4Mcn5Crwwfyv2ZZyGV92QVCQDTg0ShToxQs129djCnWgdShgVyhns7MyH+XwkHzeoVz7b5xNz9BMaFCjQps0/uZ1r3mUIeBSjbYxLYm9O4YhMMtP3+9wMxpjTEcx8lyC2U7sbEWAm8HXSfGpuAUM7JGxDZhZXI6U6P0eeATHBN9S4jJJ3T1FRu7ghKQqiT3Td2v0pSGkJwjF+I486AAngEPLuLiU+PLYECTwIp+TZSFJaETHTAJCY/vEtcRlrayXrljZvnvlAlDH8gJ8s3Zhnym9uDfMw1orgLuRn751MKM8emWnhZhYQd18Xya3mZKnhHL9rtmxCGm5RhjiDoyvQ8WjMB5KMKf46vkuFeCDy9B1wyZZ+Lr+YHGmhkbMzhje2ID7EKEL7jrB3zq+aIUGtW/D1M0/cNWYsMLWfmWn97uP6VWztQDqYjCUiJAPEvkOayfIw2H0gG88j4ZSz/1uddPRdtropY3TtNFPG+/TxiBtfIgbj6ntLa4JmdCk6cd/Aa8zel5bJwAA</properties>
</file>

<file path=customXml/item3.xml><?xml version="1.0" encoding="utf-8"?>
<properties xmlns="http://schemas.myeducator.com/properties/myeducator/atlas_meta_I9WxgiKsTFHz">H4sIAAAAAAAAA+1YTW/jNhD9K6zQQwsYQezGSWCgh42tbQ/9WHSTQ1EsBFoaOWwoUiCpxEbq/94hJUq0LcdJ19kt2g1yIMWvx5k388Z8jKjWbCEKECaaiIrzQVTIrOIQTR6bViKqYg4qmkSn+DccXkaDqFRMqoQaA0VpdDQ5HUQKp2LrD1wGWtMF7hC9ZZxDRuYrklciNUwKXCtoYcfe3wIYAkumjSZUZCQFzrGlgKSyKDkYwMnaQFnv2u4wibRdmuCaxK2xeKiihbaYFRULSKhSdIXLotl4Eg8vcEaMuD8MmqUNhLdSFRWnOlqvP6xx0FB9Vx+WSdba45ZZ27ST/5qNcTuW4ac3b4LrULw+uaZLi0biEtzoAq0CupRCQ7MaJ35vMf/WfP7G7/rVbPxtFBqxOcCe0Nnz+hbIPeUVECacvchsTJgmQho0mlKQmg4RDjVzdTDosY2sbampsBk5t+QA2Zymd9hvp/0ktXHOrbsxVQIQ12g9aAFe7QDM6yuFEDMJNUgFOSgQKRCDM7WzmaFLoqjzdoe8najJdPQKsKcvgp1KYSgOUPyfa8krA+FVpLtN7z2alZp8HVxi+BGXGAaXmH2E7Q0GiqYuoggtZCXMXvuPj2Z/G2OwtNE0RfYbVaWG0D7QaNKU8hS/mm2q1GDtoo07jC8uT8gVTqyU8wgtSyUxTeEGfHXw7u3Z07HLRbvs7GaMiJZkJSvVAk+RF3PLiEpjtnPIbm23QM8zsQjP0ydopXuWgfTpZVlw504xGuV/4iDuoXLGgYmyCnJQBjfCMO4/GGZsjm5GgZe+nUkBNnfllGsYRMi/nC3aQUAyYsJsusgKaDsI2+Yw30Xr5T8G+6IWsHzle5sc0GCqduKiYhlFS/v+Td99NL2HX8XU53mP9kn6XFjmP5mYzyczl+vr8LjqSc5kisFbiM1Y3E66V7tJt/G0tixwCoMktYc5uaqDy/o+DCE33K6rZa1kyI+jJYIwmsqV45xnJNKTODJuJIIH8dzA+mz03dHL/zqrh4dYHXflxrTj13WQwq6loTxg1fkLyo64t+yYHio74v1lR/wpyo7p4bIj7pU+J2Yd0teRuQ7m4TKjH+ZsL8zZp1bjuEeNjWXc51DirTmY1WotdhLscvCmMu9B/kWiXyeZnR9MZufNz7E6PmZPJLRdqR7tJqrZc6Q6dr8B90p1M3xAqo8XaoekOt4n1f8G7v7v9Hl0kNLuQaSmY9yx6gdls9e2NJ+9RJqHl33aHPdQvnka6Sg0vNyvzzjW/ip9f/Pz8X+Xxs8QZwTRI3uxf60JsAba1w4fWabjXZneKncO2POJgudYJT4S2oU9eqzz906KWDjWdYmCIvgtndXhrb5I3T/NC2eBb37HFG5VowltNufgq6L0zmboDO+5qsuYE3Lt3orsHOvBULEepLpzD5SE16+iJIcHIvNdF9rdXaFjn0qpWJ2QX6Rhrqiipr9mcsQIRNaRRLeqmNdPtUycEG+I5lVL32lHtM2viN+Sp/F895Q6iLhETiYZ3LfmDR3iOgnNMhBZVfivKQcqqj3uLRUgr7OODM1jb9PzueDU0QTzhE4wHtHt9Wtxq1tGsTT8tE0NFFTIGEJ3AaGD0+2B4UrL1Dp86/yBDViWGPeQJQVqclEVSf0OjRtabGMP8x3eGgkR8Glfdjpd+5f4RAHN0BhYoCMpNaYYSFLZmcN5CL9wTktb2Eweo1M/e+gbI9/4zjfO6sbab5AjcCTfi9ev/wYmvGjCRBgAAA==</properties>
</file>

<file path=customXml/item4.xml><?xml version="1.0" encoding="utf-8"?>
<properties xmlns="http://schemas.myeducator.com/properties/myeducator/atlas_meta">H4sIAAAAAAAAAzXJSwrDIBhF4b3ccQSNaTRupRTx9wEhFsEHHYTsvemgZ/TBOeF6ds22Xofvo0aYE59SDyrlsHuAAWn10FuULJH0bFmIM3KzYzoIpXTiafMSE94ljBxt3luHeYLfrULd4ycx87+Exuu6vs0Wnf94AAAA</properties>
</file>

<file path=customXml/item5.xml><?xml version="1.0" encoding="utf-8"?>
<properties xmlns="http://schemas.myeducator.com/symphony/msoffice/properties/officeprops">[obf3]ncbD-E~YCMU-VMbqjq~mrM_GrQID1Kf-6EP9.q_LWqBY-dhYLEP3LMIqjq~J3ug51EsqxYg5jMBJCygeAE0p1K~A0c_5-YP5vEZ5oqBxm</properties>
</file>

<file path=customXml/item6.xml><?xml version="1.0" encoding="utf-8"?>
<properties xmlns="http://schemas.myeducator.com/symphony/msoffice/properties/submission">[obf3]xTngC-1f3_8Cw_nNpN1Z6_Fs65GgjroCP-ekVNF09NAf4r140~7f0-e20_GNpNVV2tk~SKJ_tf10_-dNPNAfC~7f0-e20_GNpN1E2Buaj-tN4fuap_AE3.uXW-mijr1WmTFaCfeaS-JazN6j6rAa0-8y6K6gmB8k6-8c6LoS</properties>
</file>

<file path=customXml/item7.xml><?xml version="1.0" encoding="utf-8"?>
<properties xmlns="http://schemas.myeducator.com/properties/myeducator/atlas_integrity">H4sIAAAAAAAAA61XWW/bOBD+K4WwD0lX6oqXDgN+8OoI0kW6Qeseu0Ug6KASbWwpleQkbeD/vkPKlqXIcSo0BkyQHM5w5puP5OhBiYtFUSoTRUcetWeKqlRxccODuMjT7BLmT+3P95fZv3Pzmx2BdFXxsiv88vb8JnXL2v6yFWbJTjCrV5/fC5uraJlVVVbkrfgztW4/Gf/9swQx7JjxJIj5YlEpk68Pyk3J4yseXwd1tuTKBJkMUcQIxTozn7G2vlCV23CRJWENC5TJg/Khhm5VZ3G4eOWv8ljMV0LA7294XLfrSv5tlZXgR5Yn2W2WrMJFwJOsFi4ppxT8PDVEY4kG6bLFspUyJIXIUi7WKtgCF360pjdmkKUqTxo/GbEDYADO8jzmwjqoT5Qkq24W4ffGRm9owVBstTHaGeDugHYHRnfQMXDSroIgV7nocUjB14s1jP0sD/M4+xWYHRm1L1sHY9kSMdP0iUDAbVqqH0La2I/0SPt9nB2J3g5Zv4umsNYZkN3A70lIB1q3N6D6IWyLcrlahKMBdRmY9mRzmJr6fsAe6fcBAWEXD4/tovF2rBlEAxNhXt3xUkajw89A5sGTKhk+df7++G5+dEInJ4Qcb4nezM6602Ln6YePZ0cenXibOZkqOenSibudFImZzj5572cnXm817Qq6GnLLs9mX3mq54dnpu3alCFHEhbAu3H/iYDR8mp6fzY8c8w+EVcdSHUNVj1tuTc8/HflS5FuqvxE1TJu+n829IwfrqoNs+FvHrxFuqTf1fN9zwC7GKsLHLQunPhhEtrQIqj7cSKp+3PKy8YUQ6Qyh8MfNnu5O7DZiF8RuK5bcnbrE0hxi7cIXyDz0uCspM3XYa+c3vKUMDH93WUuaJnVs4iFTIAm2lkWyWnDJx63ZHb5qy6AOO4NlePOIXDIT1RXnNeyxn2nwEsETJF4UKliLxmgYQgOP0bCEBhmjAZwAFTpKBQsVNkpFBm+MUpHRm6NUrMenpJegfUemVXYaINBPK/iNAv75HTAeZOcZBTLIzWGX8DAzh3cgxiAvBxVcMszKYQU4xY+Obj8n23O802BDWAeLPDZEZrhI8mEtirvlMiy/i9X9shAeKChM8+CuKK+jorgObrNiEW4u0zRcVBzetjC/5NvHi1K4OXiYBxWHgjWpgojXdxws9FZhqBSEyWCZ5ataXDJwne7e1O3zOJgLZAmaX0rHxAyYT4uSB9v3UNYg0uPWsq2/YapSh9U1lNCrHJDAqBlXQXVV3MGDbK43SnVxyesrXgog2pBluRtZJrNsTrQ0IrFGaaRrUYhDzUqQaVqpntqxKGnaS3N7CWqbs6bt7tDDtf6eOvtjfHXmzesf7qFq/+A3QhtLBRfESrgnZgSQTeDQa74BshxWiKtcbsF0lEYGTjRGLaJRi6dayEKm8Tg24xRjZkS2soWu/WggGBqTGJCJKx6WdcRDkU2j40YeisXKn9CXVSGwsg7axVszto5MGwGhkixNecnzOthEKdMIFGjZ2JkrRAJbwjZh7QM1OqF/2fH5XOm7yQ5gPAjU0JFl2FR9RBZGdJNHhqXFWOKGsGZHEdVolIQmYinlsflMVvpEQogp++Gzn0TPpJbNDPwL35ZrdRRyZBRyDOumjl4MOelnLardF8MOsV/B7kKg9zLHyQaRTlgfbTT+ODVmXsoviuBnQIYe+UWHjrXP3qs5r+o394vq/gkvKWI6NUz6gl4yQky4ip9Fb5STjc1182kXF8slzxN4pNJFKC/Si/X/2Gd6kOQRAAA=</properties>
</file>

<file path=customXml/item8.xml><?xml version="1.0" encoding="utf-8"?>
<properties xmlns="http://schemas.myeducator.com/properties/myeducator/atlas_log_common">H4sIAAAAAAAAA+y9C3fbOJIo/Fe0vvPt9uxEbuJJMDs799qS7diJ3YmfSWb66IAEaDOWREWk/OqT//4VQFIiJcqWZGem06PMpCM+ABaqCvVCofDbRje+3Hj99982go3X6NWG3ni9cRirUVc3HPjDkdvY70dpJLvRg1YbrzZSeM1liGD4DxXEebWhNl73R93uq40raOsriSX2lULcoa4Hr2AkPOwi1+PK19ohXIQk8FWglO9RtPHtVc2nt0dRN536GHMEtx/7baNn35r86vRHPV8PoX0Os2kapeaVjZNUplGSRoHsNnZH/SCN4n6y8e1bBq7AoSKuwwPXd0OHBB78H1H4ryN87aNQeVQI5AaBz3Toa2cK3PfDeKCHaaSTxtlAyXQGQ4wzNwf660gn5uPmdwR3Nva9i7vL6G2iHvotaBYMte0AGlOPeh4gzxXQGIYYhVHxwGUOc5FgBu8ylaYz2b2Mh1F61YsCc3kjh5H0uzrJyAIDDa7iKDDXv210OvFQ6WGnAyT/1TyK+6nuA8QbAAF8J4yCUTe933ht+o+SQVfCb+hAB9fmhdFQZkOAx7qre9A06zaMhz1pukkVghc7wzhO80F+xP3bY/I+eHcPDyqXE0RU3rmSiSENAxQEGAtHCe4HFMjBNMIS+IkElAbaxVRShA2th7EhdcaE6f3AUMYMTEZ9YAozfjlMLMxdfaO79leS3pfa3CX668brJlD1FvCTvTuQQ4uZ4pU06unsHQOgDADZGy4PdKgdhHQgfFcFiLsBE8gXSgqkHJgHBGuCdD6qbmwaYSZcIhyXMw/ecxlGTGMfex7HwnORdEnoKk96BvKuTJJOF/g3JyaQTN+letiX3U4QKzPSo7hv+r8cSnup7w+u/L0g+iU62D78coZPUBC9ax10/d7h+N4H56D97uzq9Oh0536/72y+i6Krg4EbbkXo7Va4uyPi+PCKkVBFdzvkbef9Q/L5I/t0fnt+78Hv0y/37y/3Bqov3w8/S/zubk+eXJ2lnbMwOQ6v9df9I3Q4PN59GBxdnn/1D85G7zc/dA/azgm0Or/aumi29nof2if8dvOX7ffn6oq+Pd/fOdq7AC69uX2LLt5te3suG3wiMT7e4V/2R83o7u1FeuVf9I+D3qjZ578Mug5rJV83d3be3rVJMyJxk346vj9ItlsHb7bfvd1/e3fw9oscfN4OT0efL/bxZQAo6ka9KLVztxAgJXkxkGlg2G7rv1//o9+APyqO0tcNg/Xs+iZSOs5umNfjyPI+BU4Zyr6KeyAfN16nw5EG5urLgeHuy5Hl70sUhsjnBDu+H2DHQXdmjuSMKlOgMYbrr34Owb4XjvY+hDeJHBqoEx1kc24DhE/RSuumbQjPR4NuLM1nTuHb5pXBUN9E8SgpWHcw8oGDrvRYTkO/V9FN6brfj1OZCcZMpppJsvGhEFivyjLlt2+GCYEto8t+rzRBckkMQkzdj/EQxEOd82kui6zQlRp0BAg4SZAIESIUaQqKgvohIkRoT1FEQNhhL1AwF2S9jjCkQ9h5RD0x7npT6smB2wGXlAtGkQoRc2HihQCGB0ApqpQMFQtYaL8uZ+T9Y+rJFWwh9QQwl9TTbtSX/UCPFRIBiUA96XLpI0w18xxKMKZuGFKPU6MxlePATeYLhvxQLauQOCD6aYVkGa9OIXneHIXEyY+lkADBfTZRSNnllEIq3vmBFJL2Ql+A/UKAlSlXQehzzwt8L/ACESgktMO9QOqgopBUSJjHEegjJIiW1PNDGEqoqQA+BK2kjJYzvLaYQnqmMrpO3zbPLu9+udBs1D5tX4x2Bm86zvUvHwP1rt/7jGjzLHXfubfvoy4e9LeG+vM75+BBHLgxzOuti/tPnx4+Hh90yc67959O5Zf2uxu3nd7H+2+420ovvvQ23VF8cXivRydi59xNBeleXaru1ubh2w9f75zty+OvD2IYo8vLDw+HSu/tkYfowO/jW9Z3znl7b7d1H9y3d9vBL/ryKuhsBQihLxf69N0mTx52Cb5uHx6jwf3NMXlz0H142H5/6m0f9i/OxMmnbusm3nv/y/bd5XxllEmH76+MqGQu5XqtjESoGXY0eC0B1wREvwtqIWCKU9AT0gHtwJhS2tEeSGTKpgVuWRkh8Ygy4jArp5SRCn0QHyF2ENU+IT4VOvTAXHQd7IZYYBVykPMMKe0aiSMWV0acY3cxZYREWRmB0BwZQhbaCFw4JkIvYI4D4k5RopkErch8DzOtFEZKhEKIAPjJ1Z63tDZyHe9JbXS6++ZhjjZyyRxtZEf/42ijD/fn6cVEG+WXVW00fucH0kaOhzR4+0wDe4DzHwCTuxhYnDnIx1yApnI4QcivaCNPAlOEYNz4vutq1we32wcnyhNGWoGekpw4AjH5z9FGR7vundhKt0+G/IuUb30aj64HwnW+uLdvSOsoST/e3Z7t3b9/8/790Zb3dTA6kZdvbp3063b6aaS3Tq7c7aODt6O49XHUce4GfTfqi0/pJbq+ve2OgubB5sPVtrr9sNOKvgSdq7ATHB/gg7OtTffw/W078re7w8Fht3X+lnAuttVujFud5ObmbfQOrNf3F59bSnztD66/BJx++vBOyQ/+1sfk3dZWuEk/fT3ZPt/tX8kLQQWV+tjvvA1Ozukvn/Sb0/RT5+SXgy46vP1ye/uINrLiYUVthBfXRsjTjpR0rY2AszkD+Y0C0M5MUQ9zFlLEVQi+EkE4FOAgYRoIcCQJotMC9ySVQxCSjS2lon4TT0tbirxc2sJUgymSzdnyc2GQOrwBETj9DBjwVUaRTgJDCNLR0GoVkAjXfhxfdyw9fQEKA3RYM/RJ0KTUd5o+qNamUCCtReiALiEbY4xkM/fvJS98YgIV7GfEcPbZqJ+kxlfKvgQyBIxbrJqMCtI0qrMpmWRNHQRuEGLMuG8jKHE/jC7HgjkjITRPRn4vAkpZGspBZKhnaNdLy3L3LLg63DlNH9pVBWRxApMKcaeqgHJkIc8pu0P95FYPk/wLNzLqSj/qRqkNgN1ESeSb+QY9gbLMdIca5ah3QdBRgwkj6+Ike01pNcrDmCZu24v6o9SwH/AAaNvAMl4TOYYzxs+wEE75Ma4+Bh+z8phUHzOXVx7T6mMXO5XHrPoYOZxV2yPH+farkStJkiuUv8PlqA9ceZ1fDPXXUQQzBEQJiHMNrULZTXSGpI5huPyO0dJgcA2MSfMbNEtAQdu5aqV+J7tRzMQkmx/jS8MEaemGbVOa/GPCWc2yjH+5RT+f+xP/Mruc8i+Ld3KNjoBpKZMBQ5qHRLnUF8ijigSg6H3qE48HXLlyjkY3rNvMBWLyQlo9gSEHqX0wR8FLMDywBvefcSK9kEqfegxMWEw0oTANwTDhjiQVBR8oLTyPk5BhjTFMFUdzJBFjPHBVYJqA44kp36ioj5z8dSo/1Fr5EkwwwO+YyXLilvTR5E5hayaT6Vl+DKJ5aMf9WB8pGBrl627UN7y7cQW60NrPz7E6tnp3x5+3hye9k2ZyQ88PPp9cp+3u2855zMS7PS84+4r0zYfR+du+cC7eCLbHPXrxhbx/86Z70L8I7y5Pfzn8fLK3dy4/7e1dfHq7f9vrXX6l93uHg/jml/f3m+rwrHN53sU38i06FL98fu+cuu6HzTuvlx5+5A8PNyQdNN27Tt9/e9Le9tyjvY/D5mnn3Yn8tHPVe5+S7Xetz1/v6cerZhQ1t4QX3R0+HKfXR8mlenj7cXj45sFpXoaXCYkvP9Hh0al6t9s8vb9JWpyfN/fv3u5vxifDe73lXaOdL62zq+v3vYEY6dFtzxctNNraeStGF8NdPwzfv73dmJ6Zl8N4BGbExjudJHG/gV83CtelARxTWud5tRGVPLKy6Da+g9Eow7Es3fjr4G/76X8Ok6+j+H+SRj++bRieb6RxA3gOvtS4j0fDxmAYXw7NVdRvpFe6YTly8z/7fjL4n7/+PPjbP4b/6Ju/0NuWbWaFRgMmVkNpYxqAfoYur3R3YDpsXMrRpX6s68ZZvxtda3gqAdTA/IhBZfSSV+ale9szWCkNmJJxbyD7oIsa/n0jSfWg6d83zb+N8kgbvr6PAUvmC6lMrg1YwTAaZA+hc2POqQIG+4ax1vRmYwcMg/v0KupfWsj7OhvKtUVV3DCf7+pUN7QMrrKGgezD5xphPOqPezR2EHSRkcqajgm8MIRnUdIYAbkacAHvDoYR/DA3kkYcZsDApDOyf7OxF8eqARb0te3lSt7AR0b9/zAEKMxZO7snej4XhqBi4lEm0+QojfP5+xpUFrRKOvAMhqE7xgoCXHdGw27BdOZxAmQKtLImSH43jaxBtUrbGCC4AiOwn4x6YHJd6/vxk6yrJPdDB/Iy6o9NGJBxcCMzBnKJ7wNSr8dCUvcBn4GeaMhCfCEnt8kjIyIxB41DCOEOQQ4pW+udsSIpugS2tOCP1XOmVsH4BNJm6LQm7XjAMkk7I+v0jw1c8wIQPtfTcXeUG+89eWelru0IfxsPasYlr9r/v76qXhtq595FrmUrzoLhHcB1Nzay/v/s2j9w28+6Hz/gmLe5sfeMRjFypq9mHn6bhEwmU7xxkkHdQBsTzUlqAheMY4dXlNDfp4MdU0vDlcD8r3VqcX6Q4zeji6qCrtCbGZAlWjt1/plioeswX2HBjX+GNybiN8Owvrzbc2VGwaGxUbP7R4PghlwdGPMa+r+x9m5Bk2jvrH82btEf9Yz54zrOUEpAu+mrB/xjyVJ0yQ9u0uD082X4qTX9eNLeUOYpGy+57w2u4v59VTXvnz3so6PowNuEm9efPh5f7X8ZuPv9I+Z/3I59zNhH7CG1d3TjX5yHas8bfr6gpmFXnw3iT9fqizzzBifX3XN9fX132uu+/eWE2WcXp0cnwd5x6re3u+f4bnhyMbiR50dn/h66Pr84PrnooeRk9/PHo/PPB/KjGlyc7rPDi6PRae/u6hztDk5x9+3Jtffx4svuyWH7nEB/n3Vvd9fH3cMPTnz36eHgQl/sfjy76L6XZ4O3p0j1D3fV8LS/fe33t+/PzwG2i8/H77oHbz+cb18H/R180T44/3ShroL2IVXX6Rt18Xl4dL3bCh66Rydn3scTPDg62zsYvDs/2D0jh8ZeedAX6FbueSN97t2oj8dffIy6H8n5vd/a5/u9K0e92X74JRI3nz5u377rIfb54hh9wruOT/ZHn7CXviMTXL4j2zcBOQ4Dch75F92HAHdvfEA+fAfJiw8Grwe/XHxGx2i3J8/Uud89MzCgAJ/fT55fOhfXRwPVHwzPLoIo/LD5xr3+skXPvKb223dvPPey1fav5Mnb06vb1Hs4vL29+7D/+Y38fKMONyaMMJbbaXxtHLC5bHH1iRwPVK/r6Ivu9f6XODo57fbUmTr+3Ou+Ob9g5/vRbQRDRUH/qFsZhsNuP5FPD3InXmQYxwdb79XwK/+Iz+SlHBBx83ZvFF7zre3EO9z/5eLtl8P3ftQ83jlJ6oZh1c7GVZoOktc//ywHg83evXEZZRoPN+GNn4sWPw9iENIVT7gQa6cgmxqfjE1ych11u8lcAysLeOQicHaCg8gf6E7mVhu35yB4OLxqp8iYdEk6UtCo9NS426370WdStMy893Ew+POp+9UzHtMIVGzp2ceD94OwPUy9j/mzyd2tdHRxPG3yV6TtOt68jjev483rePOPGm+u2Irr3MJ1buE6t3CdW/jHEGiZU7/OTVvnpq1z09a5aT+gMPs2t81J2evu9pKJNyuu09uP+uTLB6s6yh1Ohzu/LeJ8z3OhrTC7G7eaROsec9mX97svAX/9Tl/2rDkRXUepcaRC2Yu698XtPdnt6svY0Ej3ZGTQ07dvXuYP/t+luW1iFyaamKa6N0jzQPTjQYR8FTnJQusZz43vDYZxkJq4bhYl//ZqnYO2jgmsYwLrmMCPrnXsKudktVBe6kjdWcQmdQtjiX0KiPpaJ/O+Fk+NrCn6AXE6kyLVLDdsjnOhiGDGaqjLqPpOgeOJZp354iOK9oXjzXPUq1mfGg0G8TCdUDdPMjLarJzJUuSlFIkvRVJKfl1weH6ZfSy/yHNRxvlR6d3WKL2yC6TaYsZSQ92P2KDnM8YewjSOHBQjx+8mD0y7Ou2OjHAb6OFk9TyDF+bM+yxFYJhltFXSGs2CNpAmCjI9md3MMDTRJBU8lbLqHNcBlnEp5TVZdVRgx6Yv5irVLjB35ahvJmX5HWQWn83tTr6ibJIabb5jLooHUZ68uGF5aRgNbCJjMErSuGcgzXUyyPBe0gEtogcWQpMiYHIsRv20NI53YUstZrgsaQo9wqvwyOA0x+cV/dyKbh6uPxjTPTIQp/ClAvmAYDNZIuCFLCsuHg2KtIIJW3cSnWbr0CXe/nWu7DkzFIUOOvGglEdVftWKofK0qZK/mDx15Od4DvkJK1lUQBZgzEkipV3eT+NOMtDasETB/HJgMlqmPyHsgwzukhT6bcMfRV0DZ5IagWoI2zc/OtPdZ8jNHw7kKCllWxSr7fGwpsdv45SR2QdmKum6RuMvhcD2V4G0BpAB4Vs5/fHvv23kbHQC39ZXsYHKNFVWWGyUFwWjzbwZmFsgR8z7dm2wcvfnGzR1A0QQWF/Fmv6YyaC/zMTeEMl9rPzm/UEatpuht+1zIs6OB2dmAmR9GDabZE3smHvwbHJnH8z74u6esZqKi0OtIllcnEf6tvh9kgm17PJXk1ka9W/Ans5zTXo6vYqtwIsSg0RlabCU+IiHl7IfPeQ6dePwfidfT22cGFsiM2/tyHLdZObOuALBWQOzRrPZ2D9pIOSYX29GYEuYHKiNbwtonlmpabKJrqSKbyfqYc40LwNUkeZWADwiY7IexinapW4ekQmtrLOyai85rqon3aQ/JQoehNzd8upEgQBLvRS5m0k5QuOUIzSVb5T3wASilJSSdfZ0mprktTxNfiOLNlrQwFVRugLah7s3e4K+Q7OggYISnLFngAbOB/KYWwKtpbvdbG39Ih5egzmo06TxPs/4KwN6vscJrgB6gsWnW3BUZgFlzAP7y1sdUNcj2BOeKAG6a91Ii8YJzCdz4QWnaYsdleF9q4/o6SBkX2bgdT3OMBP0OfAKj3PES/CegK1lgLVpC1EXlLq5qoP08LK9l1YhVe55wILp7H/zHQ8Axc4jkNLHIRXIcTFBZczO5lzs3AW629iWSRQkJUhDevrubYUHjq/fXvVGh5/fTkGKEDMfIQivilOQi0AR5pgNA2NIj3UIGqEPGtiitSW7waibSYQ6zIbvvxzLu8q+Cn+PHhC3l0zDC1/zXIy8lec99MAZ8hCmZR4Y9XpyeN8Y14KpZ9W+t1edWmf+w+7pzofg6yyY3CyzeY+hdZGMyGoVgKhcoqYWkZl3NLVBpXB86jao0Mcm/zIQLp4QZC2/JwzD3ALKTO4OWGLG057YYa+KJyYrG5Uu16l769S9wwk/jMrhjCJyALzV6QEnyUuw2rNwjG8kaBMeNDPTrmliwMDQ+ds34H9nht270/0mGtj6HHHcnWRmj7ee5SEjRUOiHOU1WejoJvUCr+mHodcUjhYO9piQ2b7qqU7C2ASdze6tTu725QHC3Iqc89FSfn6t8VnzmcmQyCaiG2ObdgBCAGaYnY0dFQcjM986YA5dGv9vIwqHxoGof32owW3uP51emHkxP99q/+dqTm8eE+lMqDZZdSjyyzsmdpG9kcYqzi3gTp2ra3LqwaRN4syp7lj/uuxaT7+Q4XzKy55+x8QPiz4a9S/awDXQ0Pr8gKPIKJfHff/cPwDHLDOjpwe8tJidYHMxN6Nwx7Nc9pzvftu40ncmzIp2qLdlPDRjcJhtAog5YDoWZQB8pXzkE9eXImTYoRgsYC2pFIHnhK7iZi+mRsRhoeBUazq/RsK6nty6ntw652ud87XO+VrnfK3rya3rya1z9n7fCmmds7fO2fs3y9lb15Nb15Nb5/L9LrXROpdvncv3b5fLt64nt64nt64nt64nt64nt64nt6rVsa4nt64nt64nt64nt64nt64nt7GuJ7exrie3Tkpb15Nb15Nb15Nbx5vX8eZ1vHkdb17Xk1vnFq5zC9e5hX/A3MJ1Pbl1bto6N22dm/YHEGbrenLrenI/iNZZxwTWMYF1TOAPEhNY15Nb15Nb15Nb15Nb15Nb15Nb15Nb15Nb15Nb15NbBdB1Pbl1Pbl1Pbl1Pbl1Pbl16t7vKXVvXU9uXU9uXU/ud19Pzst2pf4y0GbTy6lMzApFaUcqqFE0XdOtXJYAGhTRR/O7cG4l4BJ6yzYNdLtykBitV3jftqgDUqGiCEtCpCccGpjwPZehxr4vXVdiVzONEGba0Ygp94cFGGcAH8v+pW7sqGimxIIrGCkgtl7FRqnMw6vsVja7fnMZ23Y8yprbwmVNl1Ha3Gq3d5rbHtklbluIbY6/Gd9OKbNJCZq0zVpQWPT2+u9/3/jfFvvv1p/wxq+/mqh0d2Sd4r/jTUHYr7/mY3XBdmKmwJGCfzUlRHuaocALmcIUxixh2C6TikpECJoUlXhyrMIsRX23sfLXbesYT42XZ+N9ZX67pd+i9Nsr/UZO+QKVL3D5gpQvaPmClS/Kn0duDe4R2sQuZvAGopvgdJhf3iYT9g7bdD3zg2161FyTTey51XehveNk7Z1N5NlffNNjOOvI8+AfskkpnhBYB0BVB3Md+MxV4CsZd8eXPg98xBHoSMpCP9QeAv/ElDZZcPZxBwz76RpbdbMP1c++Rivujnr9+ZMQZhznjMhASxf7KqSMU4a00MjBWIVIE1dJGTja9dwAzOv1JFxPwvUk/J1MwhxuA3AD3OlsRbUKuYC+nqW8w6LfLPZeVDOUrtKh63jwDUFN3VhXC59IrnwpqcYc8B8Sjh0hsfaWAdijDnkJVNfCrSg2daa8kFKHIhLSgPoiFMj1iA4xJ4BigjEOfO3IAB6vEf1PRvRTopYTxLD3vUTtTp1a+Qsom6pko7SiVkD2g8+nUYBcTp3QCULEFae+JiwgNOQaiCcdH4cOdZBGS4yVgmP93cbKX+/UqpW/tHmhVf7Sdgul8pe2KHTKX9reWKX8pY2csUqBCzRWKXAxUSlwQcYqBS7oWKXABRurFLjgY5XyF6P1plSKKwqdgjEZKwqGcrWCqZfrFY9kigWD7sg1S7mFS8e6haNCuSDHK9QLYm6mYBitahhXEe66gdEqjmJUKI+GEsS0RxC4LaZWni+QE1AShhIrqRafjxRm5CI6Blfm4+lQ9hOZ7cE+jVPZnTchPU9gogIQI5giF2QKAUWCcMh9haSgEnPDpGHoSiYxaMn1hFxPyPWE/B1OyKcBZ57jTVfCrAOcPA74ExoeK6ppEHiupC7xUOjjQAuwQhARARGYYRf5HoIZQ4AOgXL+KPA/KSS46e67CQmLgqqEODk7/GmHGeHx52n31yF4k+HxZAE/yFTTQ4rxkDtcC5cocIkc5kgVYNclvudJn1LEtO+UHOCnacY9xhaxJmmFZnsmTfXxaRJSIpXnM+I7wjcRVxkSzwnA2kYgzLHHPeGH3FPUV5qC2FiT6Yci01OeN7xKnDqA8wNP6t2qUy17Dbvg20Ce58x3vB2GgxBL5IQo8H1tykECzAGSru8rHEoHAbCUUcfzQbHw4I8B9omtgWNTWSpgu4i4opY9lgK7WEChoJG5Z7RaIHwlfc0Dh7m+RyUYYA7ioWSBw5X2wkAQ1/uhgHxKvLgU2/KSFfFSfyxPVdYISlvbHLWbLXcbNdE23W5ub7VYEwuP77QxGDTelKzZp7M24y9nR6c/7dHXe4TMCBs+sZNhbJxSHhIZUBUiH9iJ+8KT2G5NRFSZ1Rezu1oivfiKkcsIJ7UKfIpC1dBCprQndJrP/gjseg9xzQgB7c2UIA5xsQ6AWAFhjCEHkIU1BQswRDCaNdF+YKI9JQ64QNx7KXEQEMlczw89cF8cQhzGGedcOMRngdn2JjVYDb5LqA+iFdGFBeuPAST4Wi/AAYV/Q5yQURDVnh8Q7gjlYC3ANQtIwCgYX8C2TugJDWY3NZWdf0goW6ZAcd1scoEu+IVnU8nc4gr4Cfk+Vp6nXIGRCkISGkMAppkkIQEfGWAQykWeL0SwsAR0QQpMr9p9Hwm4Ny0BPVqVeeZ6vK7jBTh0HSQVA21Nqcs4mMcSLCCNJVXA6Fr4GqzhkIC6nrYu11T6XVPpyeF6zsRr+c5qmder5a05epk449GLEIjreCSgWBntRqVyHV9KyYkW3LBCwMCt88Byd0I5s/Y432lzPcHc5yuPOY5boCRnmMsgZCGmTujzAHFMNHUV6GkMtrCrEfhunnSxBOdiTbQfmGhPgi0chxHxEhKxflWQuSJUXqjM4Q6+gznBPgOrzwFzVYNEFARzuAuCArww4k5bLj8c3E9NEoEdj00vnnynSTInIEVf78zOEMooxtgrhdkV8ULkEowCpQRcUOpJ4foUWE6AQ4IdgsySigsOFEh8Xy5OOQyIXGSiVMPsZnY0TmRXDiOdzA1KeUAhIAfVXCvsgVvEiaCuDANFmKs4uB0O85E1mB21uEJak+13SbYnPFxBwDFeREY8DvIc91aH4LqKkCrGwhALzRlVnkCh1oHvwBAo/BME2BSoMxVDyA8N9JMTBGy/8SFn33mCIKd2hrTp63bNDEFMUOG6zmSKeI4H0wEL6UrPTApFHeE6RAAGVeAClwdSCU87OCAg+0W4KOGo57joO8ZTDIW41spV2DfWNfVAEQUI0xC8CeXBv9IsD8A89ZTwuV7T7sen3VNwM0y/57KDAijNWcF+IFmIwLpUnGuwvZgAE0gRak5MBBvIE1hQx3eml3x/ULDnRQ8EA3X7IjZnffTAHIspXUp4yEOXEY8p+IkEaG3pe54fCAxcqrAOJdUhU9OrgH84sF0kFon7LawISzAzX7jU9wjywYtwBAdjw4cvwswDs8jUYQQ9iX2w+UzyeOhPx9R/RJgfMe2YWCwqVs2/MJVqnjTtiIvB1ZaSMOT5PgIJiEMBBqsrkas95Pged4FTsOs50sNo2kr6sYB+UtO6mLr/pOUmhGc07db5zvHW3s4cXwK5ABvYnpslbctdTYiHXUcI7WgBepZg4sFtHoQisFkKoNV8Eipfec7iGUvC5WKhYAmdnSdbN3pozgWaRztfS6FD6oQYSXDOEfgNYNBqKbEijsSMBSwIJdJaCxOyXNPu34B2Av79Z1m4s+u8Be3qrVxEBEccXN5NQcyfSVKQJ0OiAsCJw8NAh8jxJPYBNSL0TcEhR2DuKPDSHCSlIEvEzjwEUmsBCrJZ0fkEBV0wpB3kBOZERwVmuAx9BF/lIaFcSCUDJUPHCSmMLBCML7y5bE3BH52CnkORO51K/b0oOLs+cLj1cY7sxARkoUsnktMhYM96LmMaZBBBAWWCM+xI6YUgPKkEeeozcB9C5oROiNDCVPMQom5tgvEU1fis5Dycv2MImEcjkJAh82QQhL4kRAvNGNEwZcANcpyAKbBaGFaBPZl4TbE/KsUwdcg/y0aZjVMf7h/NkZCcmpNY8CThlThMcwaCxEeSCQZujaOkcrRPlUCUe6FwiAiYCUT6jIaL+zIeFg6lC1DMnZWMh9Hc3HGquHaxC9LbpYg6VAbwG0S74GBcuX6gTSqO0kIAHxKmF95IvKbY741ij4euhE2yrd+rYM8NmBO6ei/vi5pPcwLzXLlUC+Z4jJmtnhhpULYI9CyDYciQao+EMgw5Yr4O9YJJfr9XcC03bJvjzcvAEsIcUUhbUy8yr9paKtg8rhg5qX9cPK6UQL7rde3t8Ivgl4uMcwY3haj2pB9wGpDQlb4gjggDHwS153pCgfHGmZLE0QhGynlAZwK3f/yBPiHhBOVMzFgRNZXgpuTbLncd2sK7TbTj4WZrl+40RYttw384Jgg5Wx5rV+Vbq2Zt4f3h6U8t92eEX7XEqxZ/9QpNyznB3E1h8inBovA4dsfyDjS0CfUwx5XUJ44jPId5gktpXOeAByD+MA4DcEaB9UGbLyrvBIXPkdrA1YJTsn5zmQ6ow7EXSA7WhyLIAUA5x9KFyRkwEngwUzHMWp9qieWiJsWafL9v8j0qZhhyHeR+XzFTXTN4F8t+Y6uXLxfMEzXUY1wypLE5qc3kJVCMfcemXoGV4QiuAiJ9H4HfrCl2azcS/psPFqwfTn5/gxUBBSUROBJTHCAmsHCF42vPMX4ZGFoOjNRRAfWUz7hQtdl1/+aDJQIJ7/c32DAUXqAZRp4fMhfkrcdNzqQIzekywNfY4yCyHN9UY9bCq5Wnf/jBPqVMOWEeZf8EZbpbp0zPf9q1unRXvNqt06XY5IHwTcRdRt3S5tQAex7yQ9CkngAVpHxzapnGTLrgESKqQKIxZsRcoDwCvsDCqhRMCwcvokofo2H9Vm/kBh5zXU4UDEUFQCUFTiZlytWhG2CktBOGSnqha0gZrgn4ByHgo+IG8JIdrvIdxU11Yf8o7gFzdBvHptj0fHljQiChR1ysmBtqD2MK4sZDLBACtEfAwEKQIYe3gpDrUP2bjvapySlgJs3ksX0XVwXPrs8eb53u/NTCzqsW4LyFxJ//G02Xx3M2HVNcwuyCFERQ5k22eMKURDA3KTcJS4yEQcA8N1CuIxSwPOggn/sSu4IjwkxZu4VnqMAOJ/U1Taoz9FFK1i/WKk8Iz+dO6Ie+o32gqokhSMSppK4TIElcqkxGm6sD7iy6kXpNxh+DjE8EHgU4N7S+PN4SEM+JPoKb7DMMMDGhNCWhAJgJ4lwQ7nCfCY1CD/wtjDT3iT/jLf9QMD85XYCT2D/DJGlhMjNdzBRaeHZQk5kWBGbztwMSH8GlDEDgO8oFpQ6/OGfKY8p3mTkreeFUMAFmGdBoAbpVU8F2wlDb850enx/ShMAIlSwICWMuCUKsJCIhpgESCvssJIF0uHQkjMBfdOVnTbcfk24ezFou6D/DBahRT8YFAMW0CwpqF4lXr5zZRDDH2cQU/GoqoN/JTl3KdBgyIQMdBCBiXMkdkycvKPUxAkNLIeKYTR+CSC4XXyH3HEQdUl9gqErDajbY7sgcTtg4N4DPjYmGnDHshWY1yQeXXEjNQvA3XK2wYCI0R60yySnYiL7vB4vuwVtT8IenIHIooTMlKL+H7CSzeSl2UYIQuypBKPzFda444XiTI+PlcJeiybqEh0KEzd4P4vlM+iECOvrEDaUIFFGh9DVFvuv7Aqwun5OFhanZNOeK2iz/KTJWU8IQa95rOWw8sT4hwQUHA8VVATIVtcHtFzjwsMaeMNunXRF6ARA2UJ7Z28LWlPz3oyS4Pv8USrbnULKdUbINlGzXUhIxTs1iIYZhYcomopU52gNrwAeLzGRdaeF7DvcEGDU+vIlcwhUnSvgmIuFqXRt+qackCGdvEUpW08eIsxAlAUGEasQCMMGwUIwH3A+E1gjoBxZSCOacEMr1EeUuDoJFV+zXlPzDUBKDbsczJS+/ByXpbLi6TUSzRcRsrrTj8k2XY5ea/02qnDlMEySQ4yGEscSchB7lPvjHOJTMZVS7lPih4yMn1JJO7wGfTzqzdb9+b+cU6ar5ZTnJGkHcG8hhlMRzM81CLAl1ia8oCE0lXES49B0SchdpFfie8H3FlMtYgBjYPovGM9fU+11TL4d8MNRNGz1Pq2Ajk6Rvwf77xlHcuJXDvj2i7Nfcmjd7T3kAH4APMh8rx/U8ST24o6k2OcGYYgzopghMCncaX4NhbA4Gbw71IB5Of5kgp0CYPQZto3T0mT2FufPYMczlh5VDzMsn1FWOaX5i8QC+GGnVCcwxuvb0bkBZcKUDcxycoVUJY5w+0du3jBsjlZ9R/ducXFl4oO8GOkjH75mzEKMhwBH1VXQTqZHsdjTMucSeB292fNiiQrb6RrZLPduFle0GyfLTTQatYfihBhAexl3n3ZjtKXM731viC4ADc3BjH+Q89A7N7Zneg668z/qoXArDTMpyn+m0dIHLF7R8wcsXpQ72xm/BIEd9nYkkc4Y2XNcJniXRnKV4ZUubWfA9i01lfnJmoWc2gZFIj2Ca12N6yf6reG5Z7E0wu1vGpumtdEEmF7uVJ6SE2nblgjqP4XYsepdDqD0Uy56YsPM4azr1CJtqX0UIPCzjY4dNRrMz4ZqZ0XwzR6cnt3poR1OkcT82Uy2HTxVDzRl9uqxXzvCVijgF41cKSRQTYGbfZDEZZrZ0FROjsu+kmCCVRHkzxEIBAfhzJkbGT7UpjAVz1a3oF7xWvxJVMN//ZuydMV9dTKngxXk+bsGe8+ztgmPHdsB40AYfv1U41jJKcRpbzij5oR0Fq1RKoVseyVS55cKi21cltV7wTYknOz05mGIpZ5FdE0bxbNj6u/BZtEwLk7G1gZdpYXbDbZBlWiC7LE6XamKqu22wpZrYwfOlmtjRu0s1EdNzo0KgetM1b9zKEIEWbrCbNcCLfwHjGeo80YDM0OZxkPAsZR7/AuEzdHm0QZvMUuXxBjCLp6ZulSaT8w+KFmwWrTMv7bBZzMy+ZPnhmzHpetnZwb9NGYOglsAc7Xdu4+G1H8fXnZso7hZnqNvFU9Boxj0qVJbZJ9TTst9JNJipKun4Or3V0EPlLQz2gemy04v6o9QIGZMHM9akhVKcudexhmf/0gJm7kD34BXpTqEFreVhIR73jPMgXCc/bR7nqU5JJ7mKb0EJu9/yJml8qdMrPTRoGA/Ymri+cJnwNGmGPgmalPpO05dYNoVCritCx24BLInMQgQ285nWnEjQx+37Jyz1uRb+o37BeCwJiIeRAc/cMWjMBm7dHmP3j0/6tp8wpyn7HKsmo4I0qdBhUzLJmuD8uEGIMeO+t1GgruQowH9cwoEOV1oOU19LQ0teAiP3AE0+lLUEgSfTzvjl0rKH6yGzChSFoR6a88HzUVoyAgOMebF0LzYEHLNrNqw6pPp79K0XvD/dqILJHsHxzEC5g0yRg1dTzMKI42pwrJsBtnhDuOn5Pm1SX0kXsRC8R/cJqlQZCSG2UY8+by72XCo8xvEz/Enjzy6BObIU5hh2XOMDvxDmMv8+C8+8EO4Qew7ufv2W2fpB3OvpvgL5FXalnWVFPCYMBQ5xKJTQrtLaw47grkNYwDTxwxAzh0jHoaEJ5zCqpretraMa66jGOqqxjmqsoxrrqMY6qrGOaqyjGuuoxjqqsY5qrKMa66jGOqqxjmr8YFENlMUXYOjDFJilMSHRVJCBF9Wb+6NuN8/NclyTEeJKigPC3QD6FkgrkFSAd0yxCKSpEueZ3ak+4fhf+c08jpJRswGUGOqpj7mYVUttdfqjnq+HY8rbQ4Gj1GbZlJTf1pZpUrwLYxvEMBbfvAbAD3OjF97IeKXNGjZpqBElDYACaGpz37RWvgyuTdcw1kZrmDtb5XZDbQVXoJNGCy/aCDgqlSCJG39a5TPskUa/mqFGfVCj3Tgx4hJYcWu7jAxcRgaqRcbrNnIbRX5VQw51I7MYGst+uFX+MCl/mNd8eGdFKuwsjp55jdpL47RdHhotDw3XDs14XS+C053yh1n5w7Tuw0hMuA38v8VwA41KyMmAX7jlEjScHWCxG8p1qHSk8DBBQhDuMzfQgimfBZIqHFAifdAkDufal0qRpaUYCBY+JcVCqojkSDIuZCg0DVxPmJPMBVEu9zxMkTJ2IPU0GEY6nN5ZupZiaym2lmJrKfaHlWLCG9c+qpNiefXTXIrNi1I9ItJYDeH36YTuNgq9EP2gVYnwWdh60YbPovujUqp2fHxqfFuLwcmnB7i76Aj5s0c4XxzWjnCFmbtfnbh2GWDRhs8d3XyJWDs65KwwPGhUltp2RWPhls8d4HzJWz9APBlgvlqzIKh4VSJCy+cOcrc8SP70IOmqg6QrU/L5omavPEj36UGWZM3h1scFweQrU/H5kuZNeYDi6QGWRM3h/tGCYIqVKfgyRgLSnkTM54QryQNFHKzCgDqKIJ/zwA0Ch6uQeATsBBKGUi1tJAjPQ1NGggjdgIUSLBIhPYodrBXDNFRIUokCxAMwIFDIKNgr3Ed8OvFlbSSsjYS1kbA2EtZGwtpIWBsJayNhSSMBm9PZH4uHZjuli3iozazQy5sFrbLYfX+4mFXQqord1mIBo8qnfkaLRVCnP8VXaiUWblXDhxVmQ5WOTq900aLfMJkiDdMHtO7HadFDY5Zj0fLmzW6FTucLjWe3ioXdxXA33Wox4u6uQtzpTy1Gpt0XINPuwmRazkZr4ZKSN3mRizFeudV/LzozcMUsaKEFmXy6mbdSMyt9Fmv2z7UjW5hMcLmzu7vTOn2aOcLcr5pMY+hlhj9eVT5SwcaiJCvBZsn8BFz9gR7eN+TwcmQLX4TxsJGuCO5TMwY/JdjqPjFNL7q8Wbxb5v3d8xVoZXp4ZPC7Vc7dXXCezDRbbJ5UhvPzLI2dTbbYiFSsszHZXHht6T6UqW7498A6j45wwbm5Wz83l5Ojdbif5gq8yZb3JFqEr2CYkIqR3SILzsvytxa2TKa/tZixO9OMLtzs2bYJ9LGY0lvOH2qvQqp2FQ+L+grtVUg1860Vmy1GqvYLkKq9MKmW8+zatGoYk8WE4VSz9hLNXsKxU77S0uWe1i5inAjXpT5SEhw6T3rKlcwh1AuIcJSgROrpMqlrJ2vtZK2drLWTtXay1k7W2slaO1lrJ2vtZK2drLWTtXayXsLJylfPTszqmVaNLaWifpNO+VnQuMh46caB7E4VVMmfJ3p4o4c1zwDLMu3KpJOkw1Fgzqh45tbUTjcyg/97Kd+muqMf5VUqss+utB802xE3Go5LXMCnDaaGOhl1U5PCIwcR3DdfSXqpeaO2KM1QS1uyYrwnjyLu2IFEYTR5AJiCpwbLMpWms1Jti2zD3tvkdPfNg+XUy6FUFocZL4D6cMosY9Y3ASz7VukDiAuzabjYbZitghpBYcqgF+CbvJtU35mN1p/ikU1/hxEP4r6dMZl5NYSvmJVWJaPufSORMIE2G2aCptK8A1raWmBFCr0htN283TBkSxqyEerbRhzat6CzfiKztCjb+308GmY1ovv3m42jOI0Co9llal+3H4Pv3DWkPayyIfuq3EcjjVPZzdL2jWQIo24X2DrqbzZa0GdXp5mZYHdOw8v2S6W7AP/mRr6xOttLbJFisJJP2BMLwam8myCqBbBbzjZDy0Y9kVLMfkV2A7ibf2ZmEDlWx4NgrthsbMOL5jgXaC4Hg2E8GEbQASB8LGWmEVh0N1ZmLENP5ZPWQJpYrI0kzlBeAB7IfsM3RB8lgLjCnB7qHqgTQ/QywQyqJvIzR1UJV/W7dcZMO+HFDbtY39NJIi91vbRnU8K+KiTH3b7LxGJxuSOHfTMHsBF3OYDbFQCntwUtCF0NncfmaJVAVdSvDnarAnZlY1IBM1od5rw/YJiG9JO4O0p1eRxxPj9WGQQqDaI9F/fse+B+dnIsi/9fJ0et9jEOv5SgdJ9obPavZaJT5xveoJP/NRAf57d/KjbC/Ueb/XljgqbtGnED8qs76vXLUmdwXxa0Zho37KSt4OW2v6gAWmqab1em+WP70JZjzsRAb4tsNPJuC1GeSaRlWe8R+qHF+bY0905LLHVqlM1iemCnRg9YXfWv0AFT7wCfZFrACn+L56pOmAP58lzTKnFN/SbClZTDzosph9Z2BcAXElA7tQJqev/jMmC25oHZfnEwp3dcPktm8ica8yVk5k5FZrYfmaIryM6debJzVdZvV1j/sU2my1GvJDDzbp8jMB8lHl6cQXcmg90bGgE0JSrPkgybJ2eHk9jeDK4vbdMJxiUQZsZpGFMMiTq875TxPrvHdlHtNB1/NF09R+aUlMvOdhXCug29q85o6K5mStftE15C+uy0qgA/IsafQOuUGH82Th9hXvpEY7qM5EHizzYWU1PQoOyST33QuPbn4NPbgAIqghlHs3USpjA/7um97quibFhembeTV+atq8E7VR7zRSoqPrsi5RJVJ1+4suTj1TDnl7gsBv3HKy+6XHnMSXG96Tp0M6XzqoXppkszO3W17Raro2d+1hbLe6TA3pOV/xYp9Pftkbpg1ULR/4wau88un7tQmd7fYTXmxwopz6+dvFC55KlKzKV6ywvhbtlRQqe/r5LiZdROCnS/+ufVBV8IzUsXObdS7tG6ki9dN/6J0pg1VYbLBVMn1VFfzZY8LQqmTqqj1r9Eyy9l9Tpn3qopoFsqkfvq0bKvRQHdUoncJxuUAc8myBMNSKUBebpBedS7i3yBlb9g5+YTDXiZQos0cMsN6JNYqloaZZpYvn+8PvIUUfb5Ii3KVNkXi7Qok2W/Qvi5TWilCV6kCas0WWjwvNJkodG7lSYLDN9QaKbI7iL1ch8tKjquXLtwEdqVljRXrVxbV4y2rjzpCiVn64rWPln/d5kiq8vXKS4Vhl2xVu38krjGh34m5oqSs3VFa39ozCH2eElceyRLTankOXWVzetLIGXB/INnlb1+jC+ealtfg/fbTILBeJk/X9jvXMnE5If43AuUCjX3hTl0XepAEBUIxH0kCWU64IwjX3pMe4wJ7lAphU+UQ6lS8MAs+Q3jbheAfbEeDYWK1Ab10G/VpzbQhVIbBKPuEqkNpyDQtA2UEqdxKL/Ew8Y7LS9HurEtE+2bOONPh++2/9xItezVJTckJfVQxAZnMx3Mm9hBnl2CQZ7nNAby3qDR3riNxukKJripZXBlv9f4qV/KegjNQowFo3FrgVYw8oYMU51FoG23iZZJ3P/zZuMk7ukGQN4IZT/JkhvMqq6vAznKQ67dbKA2LNiFqdW1y0tDfTmJu+brQ3HY6MV9fZ9/3iwOAfwW2ER25TDK8z6y9NtSlkb2vr1MQIBly0+9OEnz/m4jQIEdfnH/EsSE7SwyWBx1VWMwSvN+wmHcayQ9Q5SeHF5rQOxPtm8QI30YTpIA9De6P9J/bkiz9gbeiVQ3sp/KS12b9+HfN0CB6qxeQHmlC3qGwRVxwOTPNjRp1w4a+yUimaPRAWeJ1o0orICWg2w4axaUjUcTS04N6a30sjTdmImV2xjSI9HyLMPNUM0wQAYIwG8Z5KdshSCPPz2Vt1FXbWjVQDn09UJx8vKy+JzKRiuGyaG3mih5Xb2kp8Cdk7BRX09ppbXOZ+KzssDjayTKMXL2RGP2dIz8v2oN5//6j306J8EhW6CbMP8cvt9akvF/MuLuSaYvZzHUlqBameunc1NX5vrt7QqIteWuVmV7/h3YfrtVgffF2P55CP2XsT0vs30JNVYqn+RadJbnH18XrSSOANsX2hjUc6QKmf9U/sVsQbKVmf3FlkLL6Rdzip+tyuv1C6E1dZyW4PVyGkZ9ybXVeP15+PyX8bqYk49hTeDvxuum96cSLmrK063M7DPbIlfm9vZ2FcK6+lursjt0V5fLU1PWawl+b7eqAL8Ywz8Tp/8yjkdOmeVLSS9WvG/d6KEZ8gzH52u2j3C9zJpm3H4/TjeqGPVPZbvMKVm4OuNP72NbmfF3tqtQvqScR/g7CPqdVhXgl2P85+H0X8f4uMz4u1Oy/jsy/jxpv1th/Noylqsz/ou5sLvbVShfVOLXOrHPlPi7rSrAL8f4P6gbiyp+7N6UxD8sbwsqmP5w62OF4ZVO9bAX9bOnPXkX9Ua9LPKXc/0kP3uenN+rsPtMQdPVWf3F/Na97SqELyrjax3XZ8r4vVYV4Jdj9R/UdUUV3/XNlIw/jPo1rL5/9BirR/1HWH2eZH9TYfWZ0rars/qLea1vtqsQvqhUr/VbnynV37SqAL8cq/+gnut0Pu+8qv3lRanlk3t5KZV7nHZck9xbu6qXrXBNreoxHQjKqHQ8qV1JQkoCpJRyMdY09LnjIV8Fkvk08H3iBMQJoafA8akThC482ZhZ1Xt2j9VVvWEwZ8OyVy3yMWddD/5wtsS63nitZ7JOU1nrsRbmZCPVWCq8Gs+turdsZlgjX66ynRpivyruJAMd2L3c2YtPLPO8l/emUM3GzDZrQAxAkKTZJpTBaBgASQw4snEV9/Rm48KsedmlM7tk1QM0XHXvzZKcrXzj28Uos5Ellde6EY/M+tOfAJOvgPXg7WF6aQxrY1ETp3Gv5TBp/ES4k3WU2LUzuonZ/zeG5P/WSOPyUGoKo60qjWdrgq0sjcuLC3VV2AoQbZmZZWRxqz6mMl3a7SlQHVPqpW6RqKb428vAWlse5zlAt+djmC/BBAvil6/OCjvzARUvD6hYHdDdKqAvtaNmgWmVjIIAbhiA8nT4MtBohhHKKjr8IvhlVUWDxScjk0e78ddR929/7UZ/O65sVe3G0sx6g1JZSABz/x8bp0awokYbROs/NnKZK7MciqK6V6lCRCFBNv/6M3zDfOevPnyqp+1SoDE9J0xfyLNycaifZiIPhTytvG0zAKY/6P8t++jPMMKNJ/C1wLai/6pJBf2v/2hVY4slofbOoHCrV10sXViLfMq3+coQcKlAQWDQDjIbvcG3nKiKXLNsNt7Et43eCDSqaWg0TJEGknUKzZJRL/tIrlqqmsUSfSH1Ul6Qna3nuKp2mS1luPJMLS/H1hWPXFGk7NaLlOl6lMsA2poP6LPU4DxQn6MGt9tzyP5MNbj7PdXg9s58DD9Du8zD7+raZXu3CuhLaZcFptV31y7vu1omlVIlTysZvFYyuZLZrSqZksg4ikGgw8vHWbmXVbTMlbwBRGjdb3wdxebVKY8lMcu5f/KYk6uSQnUU+sf2MmzEw+jSgpJpkTxelDT+hBE2rk3uGEVJDRmMrrIek1FYeeqm6aZO9ZRzI+pq1C4uhGZLjz5vlacidcopEjVFcVf3GMoFNWW/PzL7xCbS8jkQt6oQz1TkXdUMx7VLfTNVfpeQlK32I6B63wFUb3VQd+aDarfuvjCo0xVTlwF1twrqi3k3z5xXaGltU8S5jUgoCetlvRzS+M8GfTElBORLo0E3K2hiUr5HRtj2cwG+mF7KJvyUWppooacwuUjstd7LwXhO0tBOGAJBI1AhVRVUFvZ6/E4Ovx1jXlnQ0sAqgHh4rU26PTg4hg6WAnUaoF3RAPNrZK8Q3pqpDP18S6k2jai26vbKkoDUS4IljWZUn0A0r9L3k3CuXvH7JZHero7kpZZQng00ngX6eRGbQpCMDaqx5FCFWBsM9U0UjxI7tzbn2q10hjNWFxtkTuLV7sjUl22cG6Q+Zbcm8sbYrJn1mQ6jQeP2SmcywyxEjPJKmenVUOssYD4JnyTGuP2Ty7KVhlzk9OFrDcLzuIfd5GP3qOBNtxT3MIZoEcHX96XoSmlzzH1hPxeeQQYr9BkExYLp5ENjXWEGUSfZymlh86rJrxBWeVr/rj7ByjlitfXpV3Wv6+2bmZr3S0i1cnZYbU381eMX84Bd0m6s2OM77TnMsGywZfma/EvyhwVhPofszEf7cyzgeUh/hgW8s1sF9cUiMN9hBn7X+D5b0eqt0SZ4ljnsrRUjIXheRiNiTRuWWH3h9lMRhSgtzI6D7CYGQpBjF2nBLC8i6wYtWWwdlIi5STdLKmTZxWDE8gXf/AtxGD4aCylnU9acMrGyGTxTsn/lGVXOpKw90mJVo5fU5pbNHJOxDKitOch8rrytwPrS0e3d9iMIJkvBvSiKl0xoqoK78wi49DvwA12dH3aroL5YOOTp2fX7Uga8KV5OHbzgyivhc3J8iTNHFSwnjcfpNzXSeG7Egv/fxk+rLHasgORk8881OqGcclxznM2qOmH2GJeVJ1Y55bj27JyVRVa7XgosnYNZEVnlhOOaM3tW1wvt76kX9tqPIPkZincuildXvHs7j4D6DJ0wF9TVdcLebhXUl9IJC8yutU5YQCe0ybxk+FwXZEfWDKMkLqXFz4vs2OBRrhFmFIDZ9VGY66bMl5bKOAmF0qgz18sp8rXHV63K6LQ+0W36bKslGL2cK197ZNbLgjpzDNcyoLaqoD4yJ8lSc5I+LxuJPHMGZjuqC9skW1Afl1G3HGOdTkDd7Pa8othWoOfPupdbHQJMTdXZHp/hXIx3OhMfWXW5SKXtUohoHD/wJjGFx9Px88T0qXR8j2DsIB26XGAZEkaIdAhSDkfc9SRCge9zyghCXPIgJEJTESrXQz4BrGKENmbS8Z/d4zd7DNoNMIT0o26U2vrNN1F+/l1eHTnbwDDS2fhcgRg1KILxdeMkew30w6goUGvK/40LNQO+9DCw+fhNZKNzk7LOQjjlx7j6mBJceUyqj5nLK49p9bGLncpjVn2MHM6q7ZFjVddAJgnY1yrJasyO+t04uM4v8kK7HRtm6Zs6kLlGtGX4TOm2/I5hCdmNBln9x+JIuNf5RodOdqPYr5BkZ+uVzpDzZRpcbZRkhikTBQQxhzWYYn9wvzcolYD0qPBemRMMO0kaD+3wiopx6TN6tmfOcTTbc7EN4xndumS227lH2i30HWjdidSd5caabyIXPjv7zWqBuRf5kBAUP/Yhs+flJT4EIsZl0x+yFUh1V1tbyHynk1lS0HOqjADpDOM4LSoI4v7t8Rb9fG6KE1YuS6cVlt/JpQ7CmFEmA4Y0D4lyqS+ABxUJPDfwqU88HnDlSjeTV7pg9PR+YIZsjkNsJnq8aSq4koboMMiuvtFd+ytJ70vt7hL91cxQWyJRZe+CMWXnbT6HYMhBplvSu6wepnndwCuDwIh0SX2NNRIw7Yn0Qip96jFNECaa0CDEAfW5I0k+SJj00ChQWngeJyHDGmPPIY7mSCLGeOCqwDShQmJqknDNSSRxL3rQY5kQdEGS5CdR2u1L38pa/LeJ5MknaklpTe58HQHVi7Lf2fwoPy7sg0f7yI3N8TXoDyPQNq7A77MlhWd2X4lczxXHoCIjSqX6MkpSG9d4PVNz0YDSy3lu3l4tgigyt+MRMPHGO7CAwLrHrxtFyWlrVZR300X9KI1smtm4G3s+ppEdUX6UVoabjb8O/raf/ucw+TqK/8eYTrcNwwT2XKwkMRUArUcwGMaXQ3OV+xSWRJv/2feTwf/89efB3/4x/Eff/IXetmyzzKMwQXylk+gSjADT5ZXuDrJVYDm61I913Tjrd6NrswBuTqMJzI8YMNpLXpmX7sdH8ZhVW3OipdkkBg44GPWDpn/fNP82yiNt+Po+zuslZhvNdBIMo0H2EDo3vvx42d2+cTmCW5uNnRs9vE+v8oKGjb7OhnJtUVU65nKyMS4/6DEE82/cI5g5KltmhnvmW3GSr0aAwToCcjXgwixyDCP4YW4k44M8gQuNhtxs7MWxanRHwbXtxa5ig6v2H4YAljt7USa5JhVPc+kAijgeZdwnR2mcM7Q1wGCadeAZDEN3zDmzgOvOaNgtmNM8ToBMgSmSr8Z308geWbtK2xgguDKFXhNwO4eda30/fpJ1ZU2Gb0ZOmezUop4+TPqBtfvtIQ2WqD4g9XosNbTxfAM9sSPG/o6Zg0bKRPZUDQ4imBDCwdoDsVSSP52xZC26BLa04I+NmMz4MAfC2FK4yJatNYfuOpvCY3kR3tFAmbyqss7G5mx686q1e61dYw6CtEPb6NnSBsWhH9/Gw8uUUAfkNqCpY0v0e+Fo70N4k0jQhHY3aOna0L2fVb7PFVDpYSbLOsVBNv9n1/6B237W/fgBx7zNTSDKSCgjcfpq5uG3idswmeyNkwzqhlGVhVIhFQOfetTzXMaxwyvy+e9Vo2XKtJgyAH6t0xiyewm4Ta96kcXDjRxGxhQwGDRiuiryCpWSAVmiuuGsHINm7sPwLlGoWOg6zFdYcHBt7kzMrBDEGYb15d2eKzMKDhNd3D8aBDfk6sAYIyaRzvoHBU2ivbP+2bgFmCHGMnAdZygloN301QNGykou513yg5s0OP18GX5qTT+etLfVjgubuGTjurhi05b1ihnzfW9wFfcNfPr+4MrfC6JfooP9s4d9dBQdeJtw8/rTx+Or/S8Dd79/xPyP27GPGfuIPaT2jm78i/NQ7XnDzxfUNOzqs0H86Vp9kWfe4OS6e66vr+9Oe923v5ww++zi9Ogk2DtO/fZ29xzfDU8uBjfy/OjM30PX5xfHJxc9lJzsfv54dP75QH5Ug4vTfXZ4cTQ67d1dnaPdwSnuvj259j5efNk9OWyfE+jvs+7t7vq4e/jBie8+PRxc6Ivdj2cX3ffybPD2FKn+4a4anva3r/3+9v35OcB28fn4Xffg7Yfz7eugv4Mv2gfnny7UVdA+pOo6faMuPg+PrndbwUP36OTM+3iCB0dneweDd+cHu2fkMHrXOnjQF+hW7nkjfe7dqI/HX3yMuh/J+b3f2uf7vStHvdl++CUSN58+bt++6yH2+eIYfcK7jk/2R5+wl74jE1y+I9s3ATkOA3Ie+RfdhwB3b3xAPnwHyYsPBq8Hv1x8RsdotyfP1LnfPTMwoACf30+eXzoX10cD1R8Mzy6CKPyw+ca9/rJFz7ym9tt3bzz3stX2r+TJ29Or29R7OLy9vfuw//mN/HyjTOG2ghHGMj2Nr40LO5ctrj6R44HqdR190b3e/xJHJ6fdnjpTx5973TfnF+x8P7qNYKgo6B91K8Nw2O0n8ulB7sSLDOP4YOu9Gn7lH/GZvJQDIm7e7o3Ca761nXiH+79cvP1y+N6Pmsc7J0ndMKxK2rhK00Hy+uef5WCw2bs3TrcE238T3vi5aPEzGG4gEMbac2Mi6E5NepndNXFyHXW7yVzjy55aXgjF2SmflTnPzjW3ddODh8OrdopurSczUibmMXlq6pS37kefxwXS59VHN/XY55VjN88md4v69xX7eNppzBVIRSjPCHIPucaeLJ+3TkG8O8xFArul89bnCufc3g2u4sgq2aq6MzbAuCKBid2ZEFkUgAq+z8vT56dUbSRX5qA2E2gpDpV3lnPlPtyfpxds7Mrll1VXbvxOUc8BUBBgLBwluA8OjfaZRlgKjEhAaaBdTCVFeI4rly9JAWVexo2b47t5SIuQMM2pq3wd+IS4OPQ0c5CPufAFdThBqHBQM9/Nk44nQoZ833dd7fohDA1r4gmuHYd5XHLiCMSsyqvx1MDO0MO+7IJ2sn76RtlNAt0EfsnE0ysob8yrcqD2W27OlmKMG5Vz/KzzD/bHf7/+R78Bf1Qcpa8bBobs2prY2Y2Sa4edivUARoGu0/kh8jnytCMlNTrfcEzhgacwYmMDfPVzCKbMrNyayMeQt9K6aRuayTjoxtJ85hS+bV4pMnwLQg5GPuDzSo/tZej3KropXffB75HjqWuiIUa8fcjn88arKfOnJlRTmd65kVU3vYU7Z3oz54ea3sfkffDufhKpyS6nIjXFOz/Q9HZ5oEMNU0IHwndVgLgbMIF8oaRAysG+IjBxka5Mb8yES4TjcubBey7DiGnsY8/jWHguki4JXeVJb8HpfRT39QtP8byaz2pTnC4+xQl2fD/Af7ApnrmCU1PcAl43xT1vzhTn5Mea4i6X/YkGzy+npnjxzg80xbUXgpb2CKFKUa6C0OeeF/he4AUiUEhoh3uB1EFliitQ+R5HMMORIFpSzw9hKKGmQroc5rkycsMP1b9Ig2frg999elPJXGpslh9+en+b2+ak7Kt0e8nEBxDX6e1HffLlgxWm5Q6nw0bfFnFZ5jkednrfjVtNoh6POTrLeyuXgL9+ceTVUXQdpcb8DGUv6t4Xt/dkt6svY0Mjc3a8QU/fvnmZP/h/l+a28fhMVCZNdW+Q5pz7uOuVr14mWbByHBzMb5rzolMTIMsCj98mvtXalVq7UmtX6g/lSgFdJ0sS8lLbVWazDlAXc0+KNeivdVLga/HUzL6iH5AwM4fUNcsNm+PoLUXC0K/uTLvvFIGaKJuZLz6ie144cDVH49i0jcHASK8xdfOkiNoymQsdfpcd+Ldwkcxi31Kek2WWgLNFviF8xSwgKtA/96ZAr647+m58VNr0aXeyEerb8XIgzLpE5qua45TNbBX0frNxVDrhztbQNB+D79wVBV5MuLLUR3FQXrGgGkagLM2yZe35buUFz7SA/4m6nCcWgtNyAe9WnK/ImKFN5xuy2eS4mUHkWB0Pgrlis7ENL5otymbtelJkFBBeTesvt5sUSc42erAMPZVPDvPdyvku8kYSV062K5Z7hxr4VY23mA2NDdK3RU9LBHvqfDgY/Evtd4eunlcxuLbuJ/RaqYKwOHQ1dK5JK51F/epgtypgjzcB/KkE87K5sCWY8/4apnSSb5dzK/tH4nx+rDKIcv3K9lzcs++B+9nJsSz+Sym0fYzDcqFp94nG7tPprMWqy3+02ZwijmNxA/LLnC9ZljqD+7KgtfkcdtJW8HJbc3hGvQBaappvV6b56zZyJwLfCF/QkiaJZWnmtIkz2Xl8ebeFKM8k0rKs9wj90OJ8W5p7pyWWsmcSLqYHdmr0QOXIqn+mDph6B/gk0wJW+Fs8V3XCHMiX55py7bSdl1MOOy+mHMpV03ZeTEDt1Aoo2+PzD5Srgtl+cTDbS4P5yJzjTzTmS8jMHTanJNTMFF1Bdu7Mk52rsn67wvqvd54WmItRryQw826fIzAfJR5enEFLO+r2jF89LSoXO9Pv0jadYNycnzzjNIwphsRTJ53toBc7y3Ln5Y4FKVew2akeC5JR9Bkzuv5YkHG3zz/lbOfxY0GW2oT4fJw+wrz0icYLbPmbSJ7pc0CKJ1MRpakPLrLbqFSyaIz5mqM/THgoBg5JOkOdRQlMGmeW2OigHeoZri/toyj6hp9jWOE3yHYYZIv9d+tPxvfZyS//YmX+jnl/439hnvyUMcyfbZZ4sehhuprdjGVut5BjGr4/PP2p5f6M8KuWeNXir14hs13clIWDh6Yy4k8tGFoLefBX/DkrS9rCxIJga8e1CB/3Q4jtiFD4i/Ou2pPn7ex5G563J8+phaNNRDPbiribA3b+066Fa1e82i3g2s3gMs8Aol2AbBeJV6+cyaDNQi6Mrv7MF7MQQS3o5kjon/KzpE3gmI/vbpVvT3Brj6Oy9zLwzM3s4J7spoUrP56u8jYtPyi3sJ883PpYedt+8HD/aPymjQBmPGjTVif8N1nXKsZtFhVGvZ4c2kQDEx7pFCm+yEZOL3VHK5uwTWkeP+kkV6BBrR+UKbeO3Tg43k3WmWwAYzZ+fT25AyQoliRU0bG5Z352fA1yTnfGYX7Ep1/u2MhePlPst0z3Ju28cxPF3SJImgebe1r2TeJs3FcJdJ7eamhQGRPm37IAXqeIT5ZjeCDFIjWOo5bnl74bgBQbPxoDGfXtdvuR7BZf+PtGNueKiWfWOIbabHoYty7QYFPGv46MJB/P4QIX+Rw2r45nsL0w8PfNLyNRTFB9ERCg0ZwpvszAjDjI5l42+7NZns24bJJnUzmbsI8MnFcHnomZycgzyZIPPRMkxYUVFPlFu3JhRUR+kYmH4mLS20K4W3aU0OlcSbIMdvdpJmSsSMlkSCY0MgmRiYNs/j+CWlFF7R6dIMKKtQmWrTwrXYrSm2X8ZXJrfFHuEPHyxXIsaoe7t8yYvxVTd15gviqcwHAcgOlxpYPrTrZyNo6fY5fT8rpBZ3axwhgF2ZLEvCWCAs2dXra4VNLMVqcaMGxMxbxrouZl8wKGgksv7cx7iZZfsiJ99q2qKi9/O2PlcYsaCQBtUanB7iINyoBnE+SJBqTSgDzdoDzq3UW+wMpfsHPziQa8TKFFGrjlBvRJLFUtjTJNLN8XbesFxxRR9vkiLcpU2ReLtCiTZb9C+LlNaKUJXqQJqzRZaPC80mSh0buVJgsM31DI2hNpfKnBFR3mK62ZDVUQr5lPrObEpJprPJjezFY6K3myrktSx2yzJxwU35WWw9TXMg+imD1ApsJB1iVzUOhzrJqMCtKkQodNySRr6iBwgxBjxn2TADm2gXLfbRt+WwLajV7jL4wlnoNcD4HEi81AxxZUBml1zAixp8ZYGRZ3kOAerQ6LPSGnx+BnYyaOq30umgG2Y0a46fk+bVJfSRexkOpgvFw7XxjXyHJ/j771gvencxDmzcWXS4XHOC41G7u+5o4xR23pgedhjmHHdVAVc+SPgDnE6jA32ehlVOvYeC+8DydL/jFxjbST4yB7YF5fAim+cJnwNGmGPgmalPpO05dYNoVCritCJ/QCshJSSlkFj/HFU23BJLEbqxVYKmFXWnlhjcjZE0CzZf6pkiM+9wKlQs19eOoSqQNBVCAQ95EklOmAM4586THtMSa4Q6UUPlEOpUrBA7PkN1Vy5Nk9fvu1uhG+2NaeJd+Mt7Rnl0VYJbvKoojZ73wb+7jeRnq3NUqv7AZSbfFp0anuR2zQ8xljD2EaRw6KkeN3kwemXZ12RyZnaWCOIC72GWfZEaNIvc82UxtBn5nP6r74stn6CygGHWEJkN3M0jwmCWKVZI8SrWAWA+O7lPJqplw+H8wpx5NMOTttuhL00FX1HWSmlLld8L2x5E1WTzfPsBpEgSl0nl0kpu63NfCDUZLGPQNpnixizl9OOjII9CDN6ydv5DXES+N4F7ZMQHmBhMQlUxwfSbiBRwanOT6v6OdWdPNw/cEUM4oMxOZchzHTgJdkKCK7SVZlJR4NkjxjcJKbA75+mu3TLQmEX+cmUJ0ZikIHnXhQKsFQfnXsYxRjqJJ/7GjUkN/oi1ryE1ZKlAxMqC+aFOax25/TuJMMtDYsUTC/XSS8mf6EsA8yuEupVL9t+KOoa+BMbOKLIWzf/OhMd58hN384kKOktC+92I0cD2t6/DbeXD/7wEwlXddo/CWQc8lVIG1eowHhW7mcDtggxRK5KXpyFRuoTFNlRcVGeYtktJk30zcm8dO8b3dKVu7+fIOmbhiZO7QFWCpMBv1lqbMbIrmPld+8P0jDdjP0tn1OxNnx4MxMgKwPw2aTXeU7N1k10Mmd/VT3irt7Jl+ruDgEj1cWF+eRvi1+n2RCLbv89Zt1k2/iKMj34vfAKo3VRql+zLdXS4qPeHgp++MYwcbh/U6+u7RxYhIis6xVO7I8wW6jFAk/OWvg/5+9L+Fu28YW/iusX980nWc5BHdm+nWercVREruJ18TTOTpcQIuxJCqiZFvp8X//cAGQBCRS1pbpZJ5yTk8tLuAFcHH3xVRqNaV9riCkwl+vJ+OgS0XcpyXC5+apJtRd6Hph8lBEh1YccxEgiZpTArCAxrAReLyqNMwCmlBng4nxiUJAetj37HQwQwq+Ol7r0C0jBY6u20KOyoLiDGi+MAOMYDrIMHShmMExHtNe1uc8hZ7l1VDQbM1g8YM5aB8eXx87xjs0DxphUI5lmhuARrQT5Jq2AFqdVWwchMp1FhuYKu95bRQR0KtjS9ckQM8159OD79vzgJqmi3THXR9Q2yXik+M6T7Jfx2PLWMB8Xgkv1t1D81SE9y0+NS6Gkfl5Dl7bJaK86RibwOu4loUsAd7zhPUvp0nccY8wdfhVBunJbeN4LEMa2leBGTRKIHUJoJq6AFJjMaQOUm1NR+LKzmegNx+JIq4ceWkcpAKkkXHx7q2EA2d3b7v9ycnN2xlIiSoFH9GRtu6aErpIdsRUoQBdDulZ4Y6FZa1zDzX1PZesbPT+85n3KMILetEb3e6ns/CSr7m2hty1zz3VB5GLaEGWHAeYn0bJLRjlqDpwj+Wjdel/bV00PwRf5sG0IMXSXbSsag4mL5YjQpqJmFJxRsnyVbqQLMRbhFCI3p6BkNaDMhYd/lUgXL48ApX8nhEMuQTERO4OkcT2Xoly2H52BxRCJPzcFTLZFTI5KfBhIuZkZOkPBLc6PKSiw3NKfKCgNXKjxkS7GriPCELzp++zAIS9dxftGhqC/W+cJL2ihlVuW+R5L6EREbU9dGtmpOKa4QZuzY8it+ao2FE113Q8auGcHSRKIJcMqoF2uNrH8364FFnxUaGSWanwWfKZYkr6ATUVc5l2SIgAOWHMYBQmAS0M3SHi0C018cbRCBSI8sdHmKjNg+eLrTAt5uUD9l/KNY94Yken2LUimzCrxNUB2wV7YpyEyYwhUFJ1ofoYEWnThCnVHapfi6r17ANszWe07NlnJtTyzcZQyh+k8VJkD6nOT9YoZkEAi3R/rh8QxYyJ0bMTXpnMFqu5nJpByS4tUKkadmQFquYB7rq6o4UqCqxAtyKE9dAPIqgNYGpqaGgIY0wNtAHltUyzpKKzchiG8aAGmFUYxzXNVHVgONQ+AxaXGXchvw+V5Miezt8z91nSWIfpz9RI88d6VklmUs7Vl6LqgBzIgbgPmH12LRcCU6DybMq8fGlW2pZqx8xUxrKu/ijN6Crj3lCFd9YSwkrECmy9sjTsLitqlxW1y4raZUXtsqJ2WVG7rKhdVtQuK2qXFbXLitplRe2yonZZUbusqF1W1C4rapcVtbfLitplRe2yonZZUXu7rKhdVtQuK2qXFbXLitplRe2yonZZUf++K7fLivo/mBUldzgpC20wlgptcEzDXiG04YIQNEwNpbqqnHifk5HyDnu3EwxRudgHO+OLk3dHPytj7PXLghtSgT1EeWznbKQDPAnpTdQFg1xXhR7jsIz0wkOchyuAcZP1oSTfU14MhKiHCBwxFAzlgQIdQr9LLxpjZoGmw6bYS5PBzwfKedLHCoFcibxByoIbwKvr4wByWegLPTZRahbskaPVo+6lEb4t7K7cP5RESj8Z4Cn/PDiHCPwU2NTreaOYx31AV08YMo/SYM/TnykhYMz91E/SMR/vISZL8MA7bNLrt4RM0MFiWMVJL1SGkzEfJxolfSXtw6b0vdEdRKS/oGMTMjIg00lTheaxTPDPige+N0gICe+9wdi7xaVxH/4UeoxiFkEuerrIyGRymR0w/ZmaJqnvQGkLmwTNQsmapRgrcSSBxkEGzJoHZW9hYMkFbD2lXnRP9+Zs5dSGtMBaPqCGRNg1QAAGCIGfIsgL5iHg9qfn4jbaRmEmp19d3qI7ZygnY23JTi66xcmogpmcTWtvbTM5Ga3ESp6PunnABvnAtnydG66n5ODxMXJEG7n5zMvm8zbyn0oF559+aBsVAQ7MQVcgfwXeH66I+C+A3D2L9GIUQ9uaQfrDTbDe2hbWHx1JIM5gfWsjtLe+Adof1SV4t4b2my3on4b2loj2wtJQqnzOueg8zi/2i0qBIwTtM25M2HMcZjT/ufiL9tZ8oe2tuULF8Iu27AmlnowNcL3cEZqNunkYRnuhH3Q1XN9sPf80XHcq4jGoCPzNcB1Gfy7goo3UrSE7GWpL2N44kiEUw3ioj24DdCfDlcXyZMOuh++Nugzw1hB+wzX90zAeqSLKC0EvlLwf3uMRTHkO47nPdgHWe+xVhu3TPNxIEuqfi3ZpI61Aev7JjRBf+xYRLzDsNuk8GW77hL5ZlwHeHuJvtqZ/HuJrIuK3Zmj9N0T8KmrfkhDf2C7ib02FbR3JUG6V4pcqsRtS/FZdBnh7iP+dqrFI0mOPZyj+iZgWlCH9yeFHCeFDDCWI4gG72/ce4/6kzyx/HOuL+OwqOn8sobuguZKPbYTqW9Nbj49kCLdK40sV1w1p/HFdBnh7qP6dqq5I0l1fz9D4k3hQgurt00WoHg8WoHoVZX8tobqgtJKPbYTqW9NaXx/JEG6VqpfqrRtS9dd1GeDtofp3qrnOxvOWe/+FYOK1gnstIZQ7DzsuCe4t9eoxD9eMV8/EgWOYhqe6HrY9PTL0AIVhaGsaNiLfUl3kh4Fn+kbg+7oa6GpERgpU31CDyA5p9v6MV2/jEWWvHjQqLk1Ydg/MJfx65J9lruDXy309hZ9G8vVQCbNIpMqpwn5+tsqeopFhCndX0UFhs/ezK+kQBzSXmz34jJvnvTflxVBm0qzJwhAI0jFLQhlORgHZElriSOkmfXygXIPPi7rOqMuqT5ah25uCSw4GhKTdOKKJLGPvDivJBPxPP5KV3CeoR54ejW9BsAaJWleVKfZGqfJCt1Q2UEp9Z8aBZv53DsnfS6ixOJW6aFV5f7KJl6i+PauK6Fyoy1aVuphKoR6Yq9HierlNpb5iIgX5brmTSFrOl0jbGqw0ipKxYJr9TY4EHX1toBvVK2ytgARLrq+1Pio0qwF1tg+osz6gLRnQbWXULHGs0kkQkAsAEA+HF4FGc4ggsujos2PdyiyaSHxeDHG0e79Mer/+0ot/PZNSVXuJB6eeNSPnFACu/753AYQVKQ1CWn/f4zTXYzEUEF5Aiw4WFSIyCnLwy0vyDfjOLz75VB9TVyCIngXSZ/RMwH7lxZzlIaOn0tM0AmD2g/6v7KMvyQz3nlmvJdKKfioJBf3ph7psWxSI2jtYwsO+7Cxdmot84mm+XkTWMiQMQiPcwWOzh/X2ClbBOcuB8jp5UPoTwlHhReAwWRgIG5S8lk767COctcichW76UuxFdMi2JPZytQF3aW2Pu4ju2JZMUlob0L5WOUlprU/7RD/sLKAbscEqUDdhg0eNim3fkA22viUbPGpWr/AG3KVqfdfnLkctGdBtcZcljtU35y7ve9hLpVIlzzMZbcdkOJNpyUxGIBmnCSHo5OEzVu5lHS7T9e7JQmA8UL5MEnh0RmNJwZ37o2uqnJVkrCPjPwesYloyim8pKIyLcHtRqvyoIQ1UG64YxWnJNgCvohoTMCweugnDlLEeMTairgmuM0hVXYkIzSk32mZeHonqiCESEph/3VBj0ATHmTcYTCBPrKCWm0BclyEWpXC0iRiulbr62Jhrxp80FoDqfgNQ3fVBbVaDSlN3twwqHXNNUFsyqFvTbjY8V2hlbpPZuYEkCMR6VS1HV/6iGFtjQmT7xvGwxwqaQMj3BIjtgBPw5fgSO/AzbKngQs+t5DK213ItR9MqgoaaUYRpM4IZFiQSe5w/w+Gnc+SVBekeUAaQjO4whNsTBQf2ge5AGQdoSBxAL0hrs9Vq1jcyb5HRti0plYYRwYckSqBtQgn0ckqwotCMygOIpBVGK8A5GOLRND8peYjAv3jRG/JMtuVC2RhobR7ozSw2GSHJBaqccoQZWRuO8H2cTFJ6tg4q5VZjDjPWJxt6ReBVawL1ZZUrWNTn5NbUuweZlUmf0DBIeehiRjPAETHhlTLH3RHGzGBemE9SEG5/tE3maeAkZ0C+pugWt3vQJB+ao6Id2ILdAwTRzIKPp4J1RUiOmWbyc6YZMFjJmKxTEVwvPpTzCphEGWUTw8JaotDY2sis8jz/Xf+AiTFiLVm+aW0iNbbK5ZvWBlKjGB02B6ooNa5uv6gCdkW5UZLHm40KZFjV2FKGDytaWxbjBwWhGkOa1cu+iQRctegbSMDNlgzq1iww3+AEflP7vrmm1FvCTbR55KCX1rSEaFURjcisUbPE+o7bT5kVQnDM5kZ2sIHoSKVOWiKWZ5Z1WBZmWydMBC4aBwILWdUZjEzu8OVfSKJooS1EjKas69bWvLz61sLLxEhKGFYUevVNhF69NLaMjbkmqPWKxdyU3kqwbtu63WosWGB9JbiXXeIVA5pkcJsLwDW+AT4Y6+NDSwZ1a+aQ50/XvxczsGrO9tjBFj2vulUR46urFaxgNWqch9+UUONKi4X1d+XFOs6ONRY5Pfi5hCeIIceN7fGExvZ4ghhy3JBpQGMzktUopwIrx2BKJEsMOG5sky80viVfOG4sWOQNGG/lEq/PeI+bC0DdgCdUgro+TzhuyaBuiycscbp2PGEJntDQq4LhOS9gLWtGcZoIYfFVlh1qPOIcYY4BQNZHJq5DmS/shaAkZEyjTFwXQ+Qbhhznpm9gK4GxSoWf9W0lYqz8DKiNbwBqYxNQ6zKoC86kvtKZNDaLRtI3PIEsozqTTZhDPS+jTjGGKp1k6ebT87JiWwGuPnXb8w6RlZqps02fwsJ8ZyPxEWWXy1TaFkxEuf3ALWwKi8PxeWD6TDi+q2uainBkW47mRbqp656qo1C1kGW7HkKB71uGqSNkeVYQ6Q42nCi0XeTrZFU1BC0xZ8LxNx7xibZBuycI4RVN1e9j2s0rr47MEhgmmM3PdpBpwBKR+fWSlD0WQi9AXqAWyv/lhZr3of90QOPxa4ha54qyzo6jirc1+baha9JtXb5t2pZ025Bv25oq3Tbl20i1TPl9pFLWNfTSlMjX0GkdasxOBr0kuOM/eKHdDjWzDKAOJOeItAwflG4rusHn7dn/yFvCveKJDp2sJSvLV0h5W+qih5zvjYPunkAz8hbmgOqEdoy9/lAoAeka0O15MOl3aEf3lJIpoTTemiPTnnMWmh85S8PYYFho8T07bGVLu6W+Q97uxOEjxcaSbyKbfHb+m3KBua18yHEMbdGHIOdlGx8iJMY2Zz9EK5DiHs57sHeYJEVGHodAQDqjJBlnFQS1wcPZoXFzBcUJpZ9Ct0LxGU51kKaZhukFJsJWpIe24TsEB0M9cO3AN3zdtQIrtD2b0SucITpvywrtEGspLjpadj3YdDLJHr6HnvJQwHw8Fd57TPEXOKG0RGLIniXCFD23/AyRKQeMt4wfWT1MeBzg9YIASLpn+FjDyCHHXvfcyPB8wzWxjjQd60YQaYHhW6qn80mSQ09eCkLsuK6lR6aGNc1VdRVbyEOmaQV2GMArhuNpBgThQieSpB9/xTlNCHqEkvBOlDR96Unk4n8UlIcfVIFpFVdov9qiozKcD/F2Jh8sHIMLm/lv6DwKD3SJ3kdLCs9lXzmcz6WcDSAgpV74eZKOqV3j1VzNRQClz3GuKldLRwaCy8kE+j6/IxIQke61Ba1O40E8jmmYWT4M7Y8JtCPmrbTY2uz9Mvy1Pf7LKP0ySf4GotODAkhA+2LR/tJMIxiOktsR/OI6Bd2ig78M/HT4t19eDn/9ffT7AP4jox3mbalZtb4Qp/EtEQJgyC7uDZkX2Jvc4kVDK5eDXnwHDnDW1BseIyvaT/fhoWneige8ttDREpLEiAJOhPphzZ/W4P+KOFPFx9OE10tkiWZFj+AUBgddPne70yegdTE+UJr3eDQdd3lBQ2WA2VTu6FIJbS6LxDje6DEi4l8+IvT4ZW5mcg2+laTcG0EE1gnZLoX8ACfHKCZ/wIU0b+RJsBA45IFynCSh0psEd3QU6sUmqtoPsAEUO/sxo1xFxVNOHQgjTiYM+7zJOOEITQUwaNNL7pFp4A70mSVrzToW8xbn5DbruxvS6qn8KmtHvta7CYGgW3RfvsPT/A4biooMT0CnIDo1q6dPDv2Qyv20SQPdVJ8s6l1ONTBovgEu5Ihc34EzCFQmpl01LEKCdV23iLRHyJJAfzo5Zc2GzFoO50LMTD94tJ/1g1cPHNecaQgv8GzNeGKPUrmXyjXQCJJOba9PSxtkTT+e8ukxJtQhdJssU4eW6GeNu+9Tj3DCf+7Lv2HfB6zyPWdAwk1GyzpZI5v/atF/5LLPhs9vWJrVsMAQBRQKKM4gnLspdLkvDrtyzqBWgFVmTEWXBHzDNVzXNi1NtST6/A9ZaJkRLWYEgH+WcQyvd0vWdtztx3Qd7r1RDKIArCCQaZnkZSyFASnsOmAWX0HetvwWRaEZ2arph5pjEdXmEWxmGSFmK4xvH49t1q17Mkpxdr3o1A0E7J7qB7Od19kbRAwByUDq/N0niMRKLvMhrTf34+Di5jb6VJ+9XbxPqx1nMrEg49qaJNOKfAXmPO0Pu8kA4MPTN13/OICe8+3Lr210Gr9xD8jFu08fz7rtz0O7PSga23/UXBQen97711dReOyObq4NeLGHL4fJp7vws3fpDs/velf47u7xot97+9u5Se9dX5yeB8dnY79x1LvSHkfn18N77+r00j9Gd1fXZ+fXfZSet24+nl7dvPE+hsPri7Z5cn06ueg/dq9Qa3ih9d6e37kfrz+3zk8aVzoZ7wb3Wy1f6518UJPHT1/fXOPr1sfL695773L49gKFg5NWOLoYHN35g6Pp1RWB7frm7F3vzdsPV0d3waCpXTfeXH26DrtB48QI78avw+ub0eldqx587Z2eX7ofz7Xh6eXxm+G7qzetS/0kfld/8xVfowfv2J3gK/c+/Hj22ddQ76N+NfXrbavd76rh66Ovv8XO/aePRw/v+si8uT5Dn7SW6uvtySfNHb/Ti7V8px/dB/pZFOhXsX/d+xpovXufLD75DvKuP8C6vvnt+gadoVbfuwyv/N4lwIAC7Wpa3L9Vr+9Oh+FgOLq8DuLow8Fr++7zoXHp1rDfeHzt2rf1ht/1zt9edB/G7teTh4fHD+2b197NfQiF2zJEyGn6OLmjDeKr0KL7ST8bhv2eiq97d+3PSXx+0euHl+HZTb/3+uravGrHDzGZKgoGpz1pGqr58En/9NVrJstM4+zN4ftw9MX6qF16t95Qd+7fHk+iO+vwKHVP2r9dv/188t6Pa2fN87RsGpQl7XXH42H66uVLbzg86E9B6faI7A/t5l9mb7wkghshCDn33CsI3dJ95mnX8owozh95Vuac9TWnddODryfdxhg9UE2G9roX7kKd8vp0cpMXSK+qjw712KvKscO94mpW/16Sj2eVRs5AJKI8R8hdZIM8KfZbNwh5V00bOZot9FuvJM5c3g26SUyZrMzuQAbIKxKA7Q5MZHFAWPCUl6fnXar20i40agNDS9ZUXl1NlfswvRpfm7kqx3/Kqlz+TFbPgSxBoGmOGjqWTxQa7JsYaZ6jIT0wjADbmuEZSKtQ5bhLiuzMdtS4Ct3NRdiJdBNbhh36OPB13dYiF5sq8jXL8R1DtXSEMgWV6W6up7pOZCLf920b235EpqZh3XUsrKqma3mWrjrIpCyvRFMjcgYeDbwe4U5UT98T1STCm4heUmh62c6DeCUaap+4OCvYGPekPn5U+Sfyx19f/T5QyL8wicevFICB/aYiNrsgqHaaKkkPRCjAZTw/Qr6FXKx6ngE8HzAm08DHZMYgA3zxOQQzYhaXJvgc+FsY1+iLcBiHvcSDz1yQb8MjWYRvtpHDiU/Ws4tzeZmM243vhd8Dovd4+dEFawiQtw/8PO/tz4g/JaYa6XhzIavseDt2xfE21e/qeJ/p74N308JSw37OWGqyZ76j421bAY4wORI4cHw7DJBlB6aDfCf0HBSqmh/q5OAiLB1vzXRs3VFty3TJc7apIRNrvua6lua4NvJsPbJD13OXPN6nyQBv+Yjzaj7rHXFj+SOua6rvB9p/2BFnquDMEaeAlx1x16044pb+fR1x2/IGBQfnP2eOePbMd3TEsRsRLu3quhGGhhUGkW+5buC7gRs4QYgcrFpu4OFAOuIhYfmuhcgJR46OPcP1IzKVCBuOZ1vknIdAN/wo/JM4OPMPfvPjbXimbYDM8t0f76fKd85FXaXXTwsdwLkbP3zE558/UGIqDjhrNnpaRmWpUjzo8X7M3yqsHosUndW1lVuyfoOs5dVpfBePQfyMvH7cm2aXj71eD98msEfQOx6WZ0CfvOU3/vcWLoPGB1aZ8Rj3h2OOuYtVL+69TJmxMjcO8ovQL3oMBjJmeHwqdKudKrVTpXaq1H+UKkX2tXBJeLeYepnBD1Bmc08zH/SXMirwJbsLpy8bh1CYuSZ1NfHFWm69NZAD+1fW0+4bWaAKZjP3xQW8Z8uGqwqOQ8M2hkOgXvnu8qCI0jKZSzW/Yw3/li6SmeUt8ZgscAEzJ9+IfAUciCHhP1Mo0IvLWt/lrdJmu915SoQfcncgOXWpx72aecgm84JOD5RTocMdraEJHyPfecwKvIC5Uhgja5SXOVSjmDBLcFuW9ncTHZ7jDP5n6nKeUwguxALe9YR7ZGBqs/GG5nxw3Nwk+KrmkzBt50A5Ig9CijL4rosio2TB5bB+8b2iSDJL9DDZ8kifHPFsZZ5FrqSJ1Nkuc/eOMMHXME8xG4EMMqBFT4UNe64/HJn8tvLdyVCbVQwurftJRpWqICwPXck+l4SVzi/9+mDXJbDzJIAfBZhXjYUVYObjKVA6yafuXCl/JOHnY51JiPUrG5Vrb36LtZ8/HKuuvxBCO9C0SCw0bT/zsv18OGvmdfmhYVYUcczJDaFf0F9SpDrDqUhoaTwHPbTSujyUNM8oJ0ArHfMj6Zi/aiC7IPhAfAmXhCCWlZGTBs6wfnx82IyUM4q0Kuot2D+0PN4KZ+9CQCnak3A5PtAs4QNSy6p/JQ+YeYbgCeMClPjTdZZ5QgXkq2ONWDutuT3m0NwacxCrpjW3RqCapQSKjrh5QzkZzMbWwWysDOaCM2c987K1As1smhUloeaO6Bq0s1lFO9dF/YaE+q+azxPM5XZPIJh82E0I5sLN05ZHUCGj7hj06llSuVxPv1v6arHi0D95TmnIdww5z3U6a6Kt9bJsbq8tiFjBpim3BWE7usGJLm8Lkg+7eZez5uK2ICslIW6+pguQ13jm5SVS/grKM9sHJLszY1Ga+eAy2UZCyaJ85Utaf4B5KCEYknZGmFkJIIyTBTaqqGm4gPVCHkU2Nvkzh5X8TWg7mWTd/Gv9R9B9mvzn/1Ca34Tn9/4fOScvGML8TKPEM6cHDDWfjAWX60iFF9+fXLyo2y+Rtl939uvW/j6CdHEoC0duQmXEF3UytTpyyX/Oz6wsaV3TKQi0dlxdt/JxdJ0OpBvkP40P1SjuN9j9BrnfKO4bFI6G7tRYKmKLA3b1okXhajn7rQyuFoML7hGIWgSyFnL299Vi0uDIJbMr7/kCjgiDgg4toV/wXtJgOLbyq4fi5WJtaTsqeo2BBxdZ4x52kcLF29NJTxviDfEN+smTw4/S0/SDJ+3T/ElqAWQ4SMNWC/wr/FrZvMGpMOn3vRENNADzSCcL8UXUcnqLOzikAduGwe0nnbRLOCjVgxhz69DEwTybrFMkgJnUfn1XXCFbkLkkwmxguAZ/dnxM6Bzu5GZ+ZM0+3KGWPX5S6LdgeAg779zHSS8zknJjcx97AwicTQZhSgYfP2DygjQnzXpiBrxOZp8UbXiEisVhbkcVzxd+HBIqlt/KgYwHNN1+4vWyL/xjj5257OCBj2OEIekhfztbBhoy/mUClDw/w9la8DMMj+YnmP4A+AfwF1AUMKovAwJ5qeKIrzIxIAfs7LHTz045O3HskLOjzA7sgolb8sQZmSlmzigLnzojJNkPSij4j4b0g5II/oORh+xHMdpSa7fqLMmglZRkldVtG4zIUJLCaAgjGoxCMHLAzv+CpXXkpT02ioWgZK1YZUrPhJ+O8KS4foxu5T/EAZEl/lgNRel0j1eZ81N2dKsM8zJxIoLjkIgeXRzcdZjnLLefa7ZliH6DzryzAoQC5pKochFky9zpM+eSwJkpTwUwqE0FngWruShekKlowkPNqocM8SFK0uefklm5+G2GyvkbJRSAvIuEF1rLvCACzg7IMy/o0gv68y+Is24t8wVT/AI9m8+8YIk7tMwLtviC8ewqyZKGuCcU77N3ywnHzKa0rWXeEHel7SzzhrgtbWnjK18xpFe0ZV4xpVeWmrwlvbLU7G3plSWmDztE5YlxcouJKjrinlYmQ2WbV+MHq1aIVJXCA4wGqXSU8rChBaoDafa6RRhfF3ujsY89bkSBHCCocMCGNFUU+ZYW1kzD0WuGg6OaZ3pmDQeBHUSaZlo+BEDmMhDX3Y7I33QDaaJX/oWc4qnIdhGheAlMNJegGKTynBEyn5ujNC1LRY7lGvK0zGfodA4+m7Ou2ti3nFqg0Tkjreb6vlEz/NCzkRkZOMjdtdXEuISW+8fGWzd4f1GxYG7letmG45qWJryWq75wBcRRWnpgs5UzNdVWkbxy+n/CyiGzbOWKRC9grbnwnmkfKgv+AbvGuMPXgN2Ax1dYFN+xTcfFei3y9aBmGL5a8z3Nqzkhsm0nUiM30NdaFCGqYBFePPcuEUloYnVIJJWo51F6QYXI+Q6gzM0/U3LEt9wgDCNs+eSurXs4cPQwcJDlI083TBxYpoV8zzWxa5qOpRqe5/h6qBpGGJIb4PKbKTmy8YhP/5QT4bO0dhZ8k6e0s5+ZWYX9YlZE9jdPY8/rbYwfDyfjLk0gxXQ96XKG04k57PumaX6NxkmsogSpfi/9amIbj3sTiFkaQgviLM+YRUdM4vA9S6YGQs/E53CafRlSf8kSEx5BN4BdZGEeRYCYFOwh7BU5xQTxbcOw5Eg5fh6gy3ERKUePTc8jfKgrP4PgSMHlDO9Bkoeonh6PsBrGARQ6Zz9SqPtNBfxgko6TPkDKg0Wg/3La8YIAD8e8fvIeryEuzONdVAeD8hIBiSuGOC4IuCG3YE35enaNm3p8//XuAxQzigFi6OuQIw3RkmBHvF7Kqqwkk2HKIwaL2Byi649Znq5AEP5ZGUB1CTtKBugkQ6EEg/hormNkc5C3P1c0SrYf+EXp9uumECgZgKkvLgrz0PTncdJJhxgDSmTIT52E97OfcOgNBrcQSvXHnj+JewBnSgNfYGMH8Edndni2uPzm0JukQl56lo2cjEpGfMqT6+dvwFHCZS/lXyJ0Lu0GHo1rBBCexHI6RAbJXORQ9KSbAFTwakhJxZ6YIhkf8NfwPQR+wvM0U1K6+vIezVwAmjuiBVgkJCPjsdDZPSedJqFfm74ZR41a5B75lu5cng0v4QCwMQDNiqzy5j2rBlpcaY9xP7t6DPFa2Y8TovF62Y+rGD9kf58zosZ+/vOJqsn3SRzwXPw+kUqTcE+oH/O0vyL5SEa33iC3EeydTJs8u1Q5h4BIFrVKZ8YD7PYES/j5paKZSq2mtM8VhFT46/VkHHSpiPu0RPjcPNWEugtdL0weiujQimMuAiRRc0oAFtAYNgKPV5WGWUAT6mwwMT5RCEgP+56dDmZIwVfHax26ZaTA0XVbyFFZUJwBzRdmgBFMBxmGLhQzOMZj2sv6nKfQs7waCpqtGSx+MAftw+PrY8d4h+ZBIwzKsUxzA9CIdoJc0xZAq7OKjYNQuc5iA1PlPa+NIgJ6dWzpmgToueZ8evB9ex5Q03SR7rjrA2q7RHxyXOdJ9ut4bBkLmM8r4cW6e2ieivC+xafGxTAyP8/Ba7tElDcdYxN4HdeykCXAe56w/uU0iTvuEaYOv8ogPbltHI9lSEP7KjCDRgmkLgFUUxdAaiyG1EGqrelIXNn5DPTmI1HElSMvjYNUgDQyLt69lXDg7O5ttz85uXk7AylRpeAjOtLWXVNCF8mOmCoUoMshPSvcsbCsde6hpr7nkpWN3n8+8x5FeEEveqPb/XQWXvI119aQu/a5p/ogchEtyJLjAPPTKLkFoxxVB+6xfLQu/a+ti+aH4Ms8mBakWLqLllXNweTFckRIMxFTKs4oWb5KF5KFeIsQCtHbMxDSelDGosO/CoTLl0egkt8zgiGXgJjI3SGS2N4rUQ7bz+6AQoiEn7tCJrtCJicFPkzEnIws/YHgVoeHVHR4TokPFLRGbtSYaFcD9xFBaP70fRaAsPfuol1DQ7D/jZOkV9Swym2LPO8lNCKitoduzYxUXDPcwK35UeTWHBU7quaajkctnLODRAnkkkE10A5X+3jeD5ciKz4qVDIrFT5LPlNMST+gpmIu0w4JESAnjBmMwiSghaE7RBy6pSbeOBqBAlH++AgTtXnwfLEVpsW8fMD+S7nmEU/s6BS7VmQTZpW4OmC7YE+MkzCZMQRKqi5UHyMibZowpbpD9WtRtZ59gK35jJY9+8yEWr7ZGEr5gzReiuwh1fnJGsUsCGCR7s/1A6KYMTF6dsIrk9liNZdTMyjZpQUqVcOOrEDVPMBdV3e0UEWBFehWhLAe+kEEtQFMTQ0NDWGMqYE2oLyWaZZUdFYOwzAe1ACzuMnSQOSf5YBxPKT2GbC4CHZa4T5UkiN7On9P22dJYx2mP1MjzR/rWSWZSTlXX4qqA3IgB+I+YPbZtVwITIHKsynz8qVZaVuqHTNTGcu6+qM0o6uMe0MV3hlLiEMUB4soRoIlpKo07C4rapcVtcuK2mVF7bKidllRu6yoXVbULitqlxW1y4raZUXtsqJ2WVG7rKhdVtQuK2qXFbW3y4raZUXtsqJ2WVF7u6yoXVbULitqlxW1y4raZUXtsqJ2WVH/viu3y4r6P5gVJXc4KQttMJYKbXBMw14htOGCEDRMDaW6qpx4n5OR8g57txMMUbnYBzvji5N3Rz8rY+z1y4IbUoE9RHls52ykAzwJ6U3UBYNcV4Ue47CM9MJDnIcrgHGT9aEk31NeDISohwgcMRQM5YECHUK/Sy8aY2aBpsOm2EuTwc8HynnSxwqBXIm8QcqCG8Cr6+MAclnoCz02UWoW7JGj1aPupRG+Leyu3D+UREo/GeAp/zw4hwj8FNjU63mjmMd9QFdPGDKP0mDP058pIWDM/dRP0jEf7yEmS/DAO2zS67eETNDBYljFSS9UhpMxHycaJX0l7cOm9L3RHUSkv6BjEzIyINNJU4XmsUzwz4oHvjdICAnvvcHYu8WlcR/+FHqMYhZBLnq6yMhkcpkdMP2Zmiap70BpC5sEzULJmqUYK3EkgcZBBsyaB2VvYWDJBWw9pV50T/fmbOXUhrTAWj6ghkTYNUAABgiBnyLIC+Yh4Pan5+I22kZhJqdfXd6iO2coJ2NtyU4uusXJqIKZnE1rb20zORmtxEqej7p5wAb5wLZ8nRuup+Tg8TFyRBu5+czL5vM28p9KBeeffmgbFQEOzEFXIH8F3h+uiPgvgNw9i/RiFEPbmkH6w02w3toW1h8dSSDOYH1rI7S3vgHaH9UleLeG9pst6J+G9paI9sLSUKp8zrnoPM4v9otKgSME7TNuTNhzHGY0/7n4i/bWfKHtrblCxfCLtuwJpZ6MDXC93BGajbp5GEZ7oR90NVzfbD3/NFx3KuIxqAj8zXAdRn8u4KKN1K0hOxlqS9jeOJIhFMN4qI9uA3Qnw5XF8mTDrofvjboM8NYQfsM1/dMwHqkiygtBL5S8H97jEUx5DuO5z3YB1nvsVYbt0zzcSBLqn4t2aSOtQHr+yY0QX/sWES8w7DbpPBlu+4S+WZcB3h7ib7amfx7iayLit2Zo/TdE/Cpq35IQ39gu4m9NhW0dyVBuleKXKrEbUvxWXQZ4e4j/naqxSNJjj2co/omYFpQh/cnhRwnhQwwliOIBu9v3HuP+pM8sfxzri/jsKjp/LKG7oLmSj22E6lvTW4+PZAi3SuNLFdcNafxxXQZ4e6j+naquSNJdX8/Q+JN4UILq7dNFqB4PFqB6FWV/LaG6oLSSj22E6lvTWl8fyRBulaqX6q0bUvXXdRng7aH6d6q5zsbzlnv/hWDitYJ7LSGUOw87LgnuLfXqMQ/XjFfPxIFjmIanuh62PT0y9ACFYWhrGjYi31Jd5IeBZ/pG4Pu6GuhqREYKVN9Qg8gOafb+jFdv4xFlrx40Ki5NWHYPzCX8euSfZa7g18t9PYWfRvL1UAmzSKTKqcJ+frbKnqKRYQp3V9FBYbP3syvpEAc0l5s9+Iyb57035cVQZtKsycIQCNIxS0IZTkYB2RJa4kjpJn18oFyDz4u6zqjLqk+WodubgksOBoSk3TiiiSxj7w4ryQT8Tz+SldwnqEeeHo1vQbAGiVpXlSn2RqnyQrdUNlBKfWfGgWb+dw7J30uosTiVumhVeX+yiZeovj2riuhcqMtWlbqYSqEemKvR4nq5TaW+YiIF+W65k0hazpdI2xqsNIqSsWCa/U2OBB19baAb1StsrYAES66vtT4qNKsBdbYPqLM+oC0Z0G1l1CxxrNJJEJALABAPhxeBRnOIILLo6LNj3cosmkh8XgxxtHu/THq//tKLfz2TUlV7iQennjUj5xQArv++dwGEFSkNQlp/3+M012MxFBBeQIsOFhUiMgpy8MtL8g34zi8++VQfU1cgiJ4F0mf0TMB+5cWc5SGjp9LTNAJg9oP+r+yjL8kM955ZryXSin4qCQX96Ye6bFsUiNo7WMLDvuwsXZqLfOJpvl5E1jIkDEIj3MFjs4f19gpWwTnLgfI6eVD6E8JR4UXgMFkYCBuUvJZO+uwjnLXInIVu+lLsRXTItiT2crUBd2ltj7uI7tiWTFJaG9C+VjlJaa1P+0Q/7CygG7HBKlA3YYNHjYpt35ANtr4lGzxqVq/wBtylan3X5y5HLRnQbXGXJY7VN+cu73vYS6VSJc8zGW3HZDiTaclMRiAZpwkh6OThM1buZR0u0/XuyUJgPFC+TBJ4dEZjScGd+6NrqpyVZKwj4z8HrGJaMopvKSiMi3B7Uar8qCENVBuuGMVpyTYAr6IaEzAsHroJw5SxHjE2oq4JrjNIVV2JCM0pN9pmXh6J6oghEhKYf91QY9AEx5k3GEwgT6yglptAXJchFqVwtIkYrpW6+tiYa8afNBaA6n4DUN31QW1Wg0pTd7cMKh1zTVBbMqhb0242PFdoZW6T2bmBJAjEelUtR1f+ohhbY0Jk+8bxsMcKmkDI9wSI7YAT8OX4EjvwM2yp4ELPreQyttdyLUfTKoKGmlGEaTOCGRYkEnucP8Php3PklQXpHlAGkIzuMITbEwUH9oHuQBkHaEgcQC9Ia7PVatY3Mm+R0bYtKZWGEcGHJEqgbUIJ9HJKsKLQjMoDiKQVRivAORji0TQ/KXmIwL940RvyTLblQtkYaG0e6M0sNhkhyQWqnHKEGVkbjvB9nExSerYOKuVWYw4z1icbekXgVWsC9WWVK1jU5+TW1LsHmZVJn9AwSHnoYkYzwBEx4ZUyx90RxsxgXphPUhBuf7RN5mngJGdAvqboFrd70CQfmqOiHdiC3QME0cyCj6eCdUVIjplm8nOmGTBYyZisUxFcLz6U8wqYRBllE8PCWqLQ2NrIrPI8/13/gIkxYi1ZvmltIjW2yuWb1gZSoxgdNgeqKDWubr+oAnZFuVGSx5uNCmRY1dhShg8rWlsW4wcFoRpDmtXLvokEXLXoG0jAzZYM6tYsMN/gBH5T+765ptRbwk20eeSgl9a0hGhVEY3IrFGzxPqO20+ZFUJwzOZGdrCB6EilTloilmeWdVgWZlsnTAQuGgcCC1nVGYxM7vDlX0iiaKEtRIymrOvW1ry8+tbCy8RIShhWFHr1TYRevTS2jI25Jqj1isXclN5KsG7but1qLFhgfSW4l13iFQOaZHCbC8A1vgE+GOvjQ0sGdWvmkOdP178XM7BqzvbYwRY9r7pVEeOrqxWsYDVqnIfflFDjSouF9XflxTrOjjUWOT34uYQniCHHje3xhMb2eIIYctyQaUBjM5LVKKcCK8dgSiRLDDhubJMvNL4lXzhuLFjkDRhv5RKvz3iPmwtA3YAnVIK6Pk84bsmgbosnLHG6djxhCZ7Q0KuC4TkvYC1rRnGaCGHxVZYdajziHGGOAUDWRyauQ5kv7IWgJGRMo0xcF0PkG4Yc56ZvYCuBsUqFn/VtJWKs/AyojW8AamMTUOsyqAvOpL7SmTQ2i0bSNzyBLKM6k02YQz0vo04xhiqdZOnm0/OyYlsBrj512/MOkZWaqbNNn8LCfGcj8RFll8tU2hZMRLn9wC1sCovD8Xlg+kw4vqtrmopwZFuO5kW6qeueqqNQtZBlux5Cge9bhqkjZHlWEOkONpwotF3k62RVNQQtMWfC8Tce8Ym2QbsnCOEVTdXvY9rNK6+OzBIYJpjNz3aQacASkfn1kpQ9FkIvQF6gFsr/5YWa96H/dEDj8WuIWueKss6Oo4q3Nfm2oWvSbV2+bdqWdNuQb9uaKt025dtItUz5faRS1jX00pTI19BpHWrMTga9JLjjP3ih3Q41swygDiTniLQMH5RuK7rB5+3Z/8hbwr3iiQ6drCUry1dIeVvqooec742D7p5AM/IW5oDqhHaMvf5QKAHpGtDteTDpd2hH95SSKaE0Hv9Qlj3BflU2kFsKDPJ2Jw4f6d7PgeRqyNY0fR4kuZzbVj7kOIa26EOQYbKND5EDbZuzH6L1PnEP5x3PO0xuISOPQziunVGSjLN6fdrg4ezQuLmCUoDST6E3oPgMP+NI00zD9AITYSvSQ9vwHbLjoR64duAbvu5agRXans2oA872lzdBheaDtRQX/SO7Hmw6mWQP30MHdygXPp4K7z2m+AucB1qQMGTPEtGFnhKOsWTKAaPk40dWfRIeB3i9IAAC6hk+1jByyCHTPTcyPN9wTawjTce6EURaYPiW6ul8kuSIkZeCEDuua+mRqWFNc1VdxRbykGlagR0G8IrheJoBIa/Q9yPpx19xfgKDHjm3vO8jTRZ6EnnmH8U558dCYBHFFdodtuhfDOdDvJ1x44VjcNEu/w19PuGBLtGyaAHfuVwnh3OVlBNdBITLCz9P0jG1Iryaq3AIoPQ5zlVlRunIQHA5mUCX5XdE3iCytLagsWg8iMcxDerKh6HdKG2dlZMd5fR975fhr+3xX0bpl0nyNxBUHhRAAtqFinZzZvL3cJTcjuAXl+DpFh38ZeCnw7/98nL46++j3wfwHxntMG8CzWrjhTiNbwnLhSG7uDdkPldvcosXDa1cDnrxHbibWQtteIysaD/dh4emeeMb8JFC/0hIySLqLhGhhzV/WoP/K+JMFR9PE16dkKV1FR15UxgcNOfcyU2fgEbB+EBp3uPRdNzl5QOVAWZTuaNLJTSVLNLQeFvFiAhb+YjQUZc5dck1+FaScts/EQ8nZLsU8gNcCqOY/AEX0rxtJsFC4EcHynGShEpvEtzRUajPmChGP8AGUOzsx4xyFfVFOXUgbC+ZMOzzJuOEIzQVd6ApLrlHpoE70NWVrDXrD8wbipPbrMttSGuV8qus+fda7yYEgm7R6/gOT/M7bCjKoJ+ATkEsaFa9nhz6IZWyaUsEuqk+WdS7nGpg0DMDXHDtXLuAMwhUJqY9LCxCgnVdt4hsRciSQH86OWXNhswa/OYiQ2Ube/XAcc3SVvZwfDXayh4epVImlSKg7SKd2l6fFhLIWmw85dNjTKhD6DZZpg4tiM/aZN+nHuGE/9yXf8O+D1idec6AhJuMlnWytjH/1aL/yGWfDZ/fsDSrYYHZBygUUJxBOHdT6ClfHHblnEGtAKvMmIouidOGa7iubVqaakn0+R+y0DIjWswIAP8s4xhe75as7bjbj+k63BPlHESBlDarnyV5GUthQAq7DpjFV5A3Cb9FUWhGtmr6oeZYRJF4BAtVRojZCuPbx2Ob9caejFKcXS/6YgMBu6fS+Gyfc/YGEUNAMpD6bPcJIrECx3xI6839OLi4uY0+1WdvF+/T2sJkBh0mmoL4yxgNkeIzMYmK0qyREDmWQgVwgqdEBKNNDTIhVhBKbU0SQkXWBMs27Q+7yQCmiKdvuv5xAE3i25df2+g0fuMekIt3nz6eddufh3Z7UHSi/6i5KDw+vfevr6Lw2B3dXBvwYg9fDpNPd+Fn79Idnt/1rvDd3eNFv/f2t3OT3ru+OD0Pjs/GfuOod6U9js6vh/fe1emlf4zurq7Pzq/7KD1v3Xw8vbp5430Mh9cXbfPk+nRy0X/sXqHW8ELrvT2/cz9ef26dnzSudDLeDe63Wr7WO/mgJo+fvr65xtetj5fXvffe5fDtBQoHJ61wdDE4uvMHR9OrKwLb9c3Zu96btx+uju6CQVO7bry5+nQddoPGiRHejV+H1zej07tWPfjaOz2/dD+ea8PTy+M3w3dXb1qX+kn8rv7mK75GD96xO8FX7n348eyzr6HeR/1q6tfbVrvfVcPXR19/i537Tx+PHt71kXlzfYY+aS3V19uTT5o7fqcXa/lOP7oP9LMo0K9i/7r3NdB69z5ZfPId5F1/gHV989v1DTpDrb53GV75vUuAAQXa1bS4f6te350Ow8FwdHkdxNGHg9f23edD49KtYb/x+Nq1b+sNv+udv73oPozdrycPD48f2jevvZv7ECqtZYiQs4Vxckc7ulehRfeTfjYM+z0VX/fu2p+T+Pyi1w8vw7Obfu/11bV51Y4fYjJVFAxOe9I0VPPhk/7pq9dMlpnG2ZvD9+Hoi/VRu/RuvaHu3L89nkR31uFR6p60f7t++/nkvR/Xzprnadk0KFfb647Hw/TVy5fecHjQn4KW7BH1AfrDv8zeeElkP0JTcga8V9DKpRvD0zbjGV2dpxqsLjlrRE4LnQdfT7qNMXqgyhBtTi/chcLi9enkJq9oXlXQHAqoV9VPh3vF1axgvSRiz+qdnAdJdH2OF7jIBpFUbJBuEA6hmjZyNLFBeiV95yJz0E1iyqdljgliRF5CAIxtYNOKA8LFp7yePG8rtUebwMADeRd4dTVt8MP0anxt5tog/ylrg/kzWQEGsgSBpjlq6Fg+0Ymwb2KkeY6G9MAwAmxrhmcgrUIb5D4ksjPb0QQr1D8XYSfSTWwZdujjwNd1W4tcbKrI1yzHdwzV0hHKdFym/rme6jqRiXzft21s+xGZmoZ117Gwqpqu5Vm66iCTcs0SZY+IKng08HqEwVFVf0/UtAhvIqpNoSzmO/8kW1afuEQsGAX3pMZ71H5ARJi/vvp9oJB/YRKPXykAA/tNpXR2QdAONVUSQIhcgcvEhgj5FnKx6nkGiA2AMZkSPyYzBjHii88hmJHUuEDC58DfwrhGX4TDOOwlHnzmgnwbHslCcrONHE58sp5dwTw0CrrxvWguIqqTlx9dMKgAefvAz/Pe/owEVWLtkY43l9PKjrdjVxxvU/2ujveZ/j54Ny2MPeznjLEne+Y7Ot62FeAIkyOBA8e3wwBZdmA6yHdCz0GhqvmhTg4uwtLx1kzH1h3VtkyXPGebGjKx5muua2mOayPP1iM7dD13yeN9mgzwlo84L7+z3hE3lj/iuqb6fqD9hx1xpk3OHHEKeNkRd92KI27p39cRty1vUHBw/nPmiGfPfEdHHLsR4dKurhthaFhhEPmW6wa+G7iBE4TIwarlBh4OpCMeEpbvWoiccOTo2DNcPyJTibDheLZFznkIdMOPwj+JgzOH3jc/3oZn2gbILN/98X6qfOdc1FV6/bTQAZy78cNHfP75AyWm4oCzlqenZVSWKsWDHu/H/K3CcLJI0VldW7kl6zfIelSdxnfxGMTPyOvHvWl2+djr9fBtAnsEzd5heQb0yVt+439v4TJofGDYGY9xfzjm1sHFqhd3N6bM3pnbF/lFaPA8Bhsbs10+FbrVTpXaqVI7Veo/SpUi+1p4NbxbTB3V4EooM9unmRv7SxkV+JLdhdOXjUMozFxXuZr4Yg2stwYi/0zTBCG9rAndN7JAFcxm7osLeM+WDVcVHIfGWQzBMj4XV1Fa13KpbnWsQ9/SVS2zRCMeRAVeZOYnHJGvgA8yJPxnChV1cVmvury32Wx7Ok+J8EPuUSSnLvW4YzSPsWSO1OmBciq0pKNFL+Fj5DuPWUUWMFcKY2Sd7TKfbBQTZgmez9KGbKLPdJzB/0whzXMKwYVYcbuecKcOTG02QNCcj2abmwRf1XwSpu0cKEfkQcgpBvd3URWULLgchy++V1Q1ZpkZJlse6ZMjnl7M076VNJFa0WUe4xEm+BrmOWEjkEEGtEqpsGHPNXQjk99WgjoZarMSv6WFOsmoUtmC5aEr2eeSOND5pV8f7LoEdh61/6MA86rBqwLMfDwFah351CMsJXwk/HysMwmx4GSjcu3Nb7H284dj1fUXYl4HmhaJlaHtZ162n48/zbwuPzTMiqqLObkh9AsaQopUZzgVCS0NCaGHVlqXh5JuF+UEaKVjfiQd81cNZBcEH4gv626vrIycNPaGNdDjw2aknFGkVVFvwf6h5fFWOHsXAkrRJoLL8YFmCR+Qekz9K3nAzDMETxgXoMSfrrPMEyogXx1rxGJnze0xh+bWmINY5qy5NQLVLCVQdMTNO8DJYDa2DmZjZTAXnDnrmZetFWhm06yo4TR3RNegnc0q2rku6jck1H/VfJ5gLrd7AsHkw25CMBdunrY8ggopcMegV8+SyuWa8N3SV4sVh4bHc0pDvmPIea41WRNtrflkc3t9PMSSM025jwfb0Q1OdHkfj3zYzduSNRf38Vgpa3DzNV2AvMYzLy+Ro1dQntnGHdmdGYvSzAeXSQ8SagzlK1/SqwPMQwnBkLTD4udYJCiLjVRR03AB64VUjGxs8mcOK/mb0HYyybr51/qPoPs0+c//oTS/Cc/v/T9yTl4whPmZBppnTg8Yaj57Ci7XkQovvj+5eFG3XyJtv+7s1639fQT53VDHjdyEUoYv6mRqdeSS/5yfWR3RuqZTEGixt7pu5ePoOh1IN8h/Gh+qUdxvsPsNcr9R3DcoHA3dqbHcwRYH7OpFi8LVcvZbGVwtBhfcIxC1CGQt5Ozvq8WkwZFLZlfepAUcEQYFHXo4v+DNn8FwbOVXD8XLxdrS/lH0GgMPLrJOO+wihYv3k5OeNsQb4hv0kyeHH6Wn6QdP2qf5k9QCyHCQRr4W+Ff4tbJ5g1Nh0u97IxpoAOaRThYljKjl9BZ3cEhjvg2D2086aZdwUKoHMebWoZl+efpXp8jYMqn9+q64QrYgc0mE2cBwDf7s+JjQOdzJzfzImn24Qy17/KTQb8HwELneuY+TXmYk5cbmPvYGEHubDMKUDD5+wOQFaU6a9cQMeJ3MPina8AgVi8PcjiqeL/w4JFQsv5UDGQ9ofvzE62Vf+MceO3PZwQMfxwhD3kT+drYMNOr8ywQoeX6Gs7XgZxgezU8w/QHwD+AvoCjgI1oGBPJSxRFfZWJADtjZY6efnXJ24tghZ0eZHdgFE7fkiTMyU8ycURY+dUZIsh+UUPAfDekHJRH8ByMP2Y9itKXWbtVZkkErKckqq9s2GJGhJIXREEY0GIVg5ICd/wVL68hLe2wUC0HJWrHKlJ4JPx3hSXH9GN3Kf4gDIkv8sRqK0ukerzLnp+zoVhnmZeJEBMchET3AcdhhnrPcfq7ZliH6DTrzzgoas05dElUugmyZO33mXBI4M+WpAAa1qcCzYDUXxQsyFU14qFn1kCE+REn6/FMyKxe/zVA5f6OEApB3kfBCa5kXRMDZAXnmBV16QX/+BXHWrWW+YIpfoGfzmRcscYeWecEWXzCeXSVZ0hD3hOJ99m454ZjZlLa1zBvirrSdZd4Qt6UtbXzlK4b0irbMK6b0ylKTt6RXlpq9Lb2yxPRhh6g8MU5uMVFFR9zTymSobPNq/GDVCpGqUniA0SAbj1IeNrRAdSAvXrcI4+tibzT2sceNKJBGBCUJ2JCmiiLf0sKaaTh6zXBwVPNMz6zhILCDSNNMywffai4Dcd3tiPxNN5DmiuVfyCmeimwXEYqXwERzCYpBKs8ZIfO5OUrTslTkWK4hT8t8hk7n4LM566qNfcupBRqdM9Jqru8bNcMPPRuZkYGD3F1bTYxLaLl/bLx1g/cXFQvmVq6XbTiuaWnCa7nqC1dAHKW1AjZbOVNTbRXJK6f/J6wcMstWrkj0AtaaC++Z9qGy4B+wa4w7fA3YDXh8hUXxHdt0XKzXIl8PaobhqzXf07yaEyLbdiI1cgN9rUURogoW4cVz7xKRhOZmh0RSiXoepRdUiJxv2cnc/DM1QnzLDcIwwpZP7tq6hwNHDwMHWT7ydMPEgWVayPdcE7um6Viq4XmOr4eqYYQhuQEuv5kaIRuPCDsk5tJnmfEs+CbPimc/M7MK+8WsiOxvngmfF8gYPx5Oxl2ag4rpetLlDKcTc9j3TdP8Go2TWEUJUv1e+tXENh73JhCzNISewVmqMouOmMThe5aPPWKhSJA7Pc2+DNnDZIkJj6AbwC6yMI8iQEwK9hD2ipxigvi2YVhypJyJDNU2yX3DKSLl6LHpeYQPdaVndBeOFFzO1XGdRfX0eITVMA6gMjn7kUKhbirgB5N0nPQBUh4sAg2T044XBHg45gWP93jRb2Ee76I6GJSXCEhcMcRxQcANuQVryteza9zU4/uvdx+g+lAMEEMjhhxpiJYEO+L1UlYWJZkMUx4xWMTmEF1/zFJ9BYLwz8oAqkvYUTJAJxkKVRzER3MdI5uDvP25olGy/cAvSrffErYftgXKOOSVdGgG9TjppEOMASUy5KdOwvvZTzj0BoNbCKX6Y8+fxD2AM6WBL7CxA/ijMzs8W1x+c+hNUiG1PUtoTkYlIz7l+fnzN+Ao4bKX8i8ROpd2A4/GNQIIT2L9GyKDZC5yqJvSTQAqeDWkpGJPTJGMD/hr+B4CP+F5mikpXX15j2YuAM0d0RouEpKR8Vjo7J6TTpPQr03fjKNGLXKPfEt3Ls+Gl3AA2BiAZkVievOele8srrTHuJ9dPYZ4rezHCdF4vezHVYwfsr/PGVFjP//5RNXk+yQOeDp/n0ilSbgnlKB52l+RfCSjW2+Q2wj2TqZNnl2qnENAJItapTPjAXZ7giX8/FLRTKVWU9rnCkIq/PV6Mg66VMR9WiJ8bp5qQumGrhcmD0V0aMUxFwGSqDklAAtoDBuBx6tKwyygCXU2mBifKASkh33PTgczpOCr47UO3TJS4Oi6LeSoLKjvgOZrO8AIpoMMQxfqIRzjMW0+fc5T6FleDQXN1gwWP5iD9uHx9bFjvEPzoBEG5VimuQFoRDtBrmkLoNVZicVBqFxnsYGp8p6XVxEBvTq2dE0C9FxzPj34vj0PqGm6SIeCVesCartEfHJc50n263hsGQuYzyvhxbp7aJ6K8L7Fp8bFMDI/z8Fru0SUNx1jE3gd17KQJcB7nrCG4zSJO+4Rpg6/yiA9uW0cj2VIQ/sqMINGCaQuAVRTF0BqLIbUQaqt6Uhc2fkM9OYjUcSVIy+Ng1SANDIu3r2VcODs7m23Pzm5eTsDKVGl4CM60tZdUyI/kx0xVagYl0N6VrhjYVnr3ENNfc8lKxu9/3zmPYrwgl70Rrf76Sy85GuurSF37XNP9UHkIlrTJccB5qdRcgtGOaoO3GP5aF36X1sXzQ/Bl3kwLUixdBctq5qDyevtiJBmIqZUTVGyfJUuJAvxFiEUordnIKQlpYzlDv8yBXJWL5SQw33rXt6E0speXU1OW7f2HOEn5Arprm26axMtGMG1Lcd2BZiJrt3D3mDx6t6ef4ym5xKUH4dfTrzHt0fzUOqGhlTkbAClYRo2+UOAsh09A2DyevAonaOrmy9xd/Lx8yztJ8ObpqHZjrXk9rt2CYyGSqipQ+Txhbufre275DYOKAq0W7J98HlFgUvETAXrEMl875Uol+9nd8BAgISfu8I2u8I2JwU+TMQcnSwdhuBWh4fYdHiOkQ8ctUZu1JioXwN3IkFs/vR9FpCy9+6iXUNDsAePCZYXZdFyWzPPgwqNSA/V0K2ZkYprhhu4NT+K3JqjYkfVXNPxqMV7dpAogdxCKOfa4WYAngfGtYqKjwrF8UqVkZLPFFPSD6jrgOs4Q0IVyAljBsQwCWhl7w4Rj2+pyT+ORqBQlj8+wuPJaPB88R2m1b58wP5LuYwWT/TpFLtWZJdmxd06YMtiT4yTMJkxDEumDyhoR1ScNGFGlg61t4imltkH2JrPWF1mn5lQTwgbQyl/kMbPkT2kNiCyRjELCllkC+L6IlHUmVo1O+GVmW2xmsupnZTsgs3Swki3NC+MdCLWoki1LRya5ILjadhyMBGnceSEth06kWargUsN9gHlHszSQFUp5TAM40ENMIubsGkGm+WAsySk9jqwwAl2e+E+FCckezp/T9tnSYQdZk+hRrs/1rNSMxdDrs4WVSjkwB7EYwLYZ9dyKTGFOs+uzSviZrWJqbWEmU5ZFp4szWXW7TJpDsooy5YxIuwg1yKKsmAZq6o2vMuS22XJ7bLkdllyuyy5XZbcLktulyW3y5LbZcntsuR2WXK7LLldltwuS26XJbfLkttlye3tsuR2WXK7LLldltzeLktulyW3y5LbZcntsuR2WXK7LLldlty/78rtsuT+D2bJyR1vykIbjKVCGxzTsFcIbbggBA1TQ6muKife52SkvMPe7QRDlDb2wc744uTd0c/KGHv9suCGVGAPUR7sORvpAE9qKnKpCwa5rgpN4mEZ6YWHOA9XAOMma21Kvqe8GAhRDxE4YigYygMFOoQWql40xswCTYdNsZcmg58PlPOkjxUCuRJ5g5QFN4BX18cB5DbRF3psotQs2CNHq0fdSyN8W9hduX8oiZR+MsBT/nlwDhH4KbCp1/NGMY/7gEaxMGQepcGepz9TQsCY+6mfpGM+3kNMluCBN22l128JmaCDxbCKk16oDCdjPk40SvpK2odN6XujO8hQeEHHJmRkQKaTpgrNa5rgnxUPfG+QIBTee4Oxd4tL4z78KbStxSyjQPR0kZHJ5DI7YPozNU1S34HSFjYJ+s+SNUsxVuJIAo2DDJg1D8rewsCSC9h6Sr3onu7N2cqpDWmBtXxADYmwa4AADBACP0WQF8xDwO1Pz8VttI3CTE6/urxFd85QTsbakp1cdIuTUQUzOZvW3tpmcjJaiZU8H3XzgA3ygW35OjdcT8nB42PkiDZy85mXzedt5D+VCs4//dA2KgIcmIOuQP4KvD9cEfFfALl7FunFKIa2NYP0h5tgvbUtrD86kkCcwfrWRmhvfQO0P6pL8G4N7Tdb0D8N7S0R7YWloVT5nHPReZxf7BeVAkcI2mfcmLDnOMxo/nPxF+2t+ULbW3OFiuEXbdkTSj0ZG+B6uSM0G3XzMIz2Qj/oari+2Xr+abjuVMRjUBH4m+E6jP5cwEUbqVtDdjLUlrC9cSRDKIbxUB/dBuhOhiuL5cmGXQ/fG3UZ4K0h/IZr+qdhPFJFlBeCXih5P7zHI5jyHMZzn+0CrPfYqwzbp3m4kSTUPxft0kZagfT8kxshvvYtIl5g2G3SeTLc9gl9sy4DvD3E32xN/zzE10TEb83Q+m+I+FXUviUhvrFdxN+aCts6kqHcKsUvVWI3pPitugzw9hD/O1VjkaTHHs9Q/BMxLShD+pPDjxLChxhKUsUDdrfvPcb9SZ9Z/jjWF/HZVXT+WEJ3QXMlH9sI1bemtx4fyRBulcaXKq4b0vjjugzw9lD9O1VdkaS7vp6h8SfxoATV26eLUD0eLED1Ksr+WkJ1QWklH9sI1bemtb4+kiHcKlUv1Vs3pOqv6zLA20P171RznY3nLff+C8HEawX3WkIodx52XBLcW+rVYx6uGa+eiQMoQOKprodtT48MPUBhGNqaho3It1QX+WHgmb4R+L6uBroakZEC1TfUILJDmr0/49XbeETZqweNq0sTlt0Dcwm/HvlnmSv49XJfT+GnkXw9VMIsEqlyqrCfn62yp2hkmMLdVXRQ2Oz97Eo6xAHN5WYPPuPmee9NeTGUmTRrsjAEgnTMklCGk1FAtoSWvFK6SR8fKNfg86KuM+qy6pNl6Pam4JKDASFpN45oIsvYu8NKMgH/049kJfcJ6pGnR+NbEKxBotZVZYq9Uaq80C2VDZRS35lxoJn/nUPy9xJqLE6lLlpV3p9s4iWqb8+qIjoX6rJVpS6mUqgH5mq0uF5uU6mvmEhBvlvuJJKW8yXStgYrjaJkLJhmf5MjQUdfG+hG9QpbKyDBkutrrY8KzWpAne0D6qwPaEsGdFsZNUscq3QSBOQCAMTD4UWg0RwiiCw6+uxYtzKLJhKfF0Mc7d4vk96vv/TiX8+kVNVe4sGpZ83pOQWA67/vXQBhRUqDkNbf9zjN9VgMBYQX0CKURYWIjIIc/PKSfAO+84tPPtXH1BUIomeB9Bk9E7BfeTFnecjoqfQ0jQCY/aD/K/voSzLDvWfWa4m0op9KQkF/+qEu2xYFovYOlvCwLztLl+Yin3iarxeRtQwJg9AId/DY7GG9vYJVcM5yoLxOHpT+hHBUeBE4TBYGwgYlr6WTPvsIZy0yZ6GbvhR7ER2yLYm9XG3AXVrb4y6iO7Ylk5TWBrSvVU5SWuvTPtEPOwvoRmywCtRN2OBRo2LbN2SDrW/JBo+a1Su8AXepWt/1uctRSwZ0W9xliWP1zbnL+x72UqlUyfNMRtsxGc5kWjKTEUjGaUIIOnn4jJV7WYfLdL17shAYD5QvkwQendFYUnDn/uiaKmclGevI+M8Bq5iWjOJbCgrjItxelCo/akgD1YYrRnFasg3Aq6jGBAyLh27CMGWsR4yNqGuC6wxSVVciQnPKjbaZl0eiOmKIhATmXzfUGDTBceYNBhPIEyuo5SYQ12WIRSkcbSKGa6WuPjbmmvEnjQWgut8AVHd9UJvVoNLU3S2DSsdcE9SWDOrWtJsNzxVamdtkdm4gCQKxXlXL0ZW/KMbWmBDZvnE87LGCJhDyPQFiO+AEfDm+xA78DFsquNBzK7mM7bVcy9G0iqChZhRh2pxihgWJxB7nz3D46Rx5ZUG6B5QBJKM7DOH2RMGBfaA7UMYBGhIH0AvS2my1mvWNzFtktG1LSqVhRPAhiRJom1ACvZwSrCg0o/IAImmF0QpwDoZ4NM1PSh4i8C9e9IY8k225UDYGWpsHejOLTUZIcoEqpxxhRtaGI3wfJ5OUnq2DSrnVmMOM9cmGXhF41ZpAfVnlChb1Obk19e5BZmXSJzSQUh66mNEMcERMeKXMcXeEMTOYF+aTFITbH22TeRo4yRmQrym6xe0eNMmH5qhoB7Zg9wBBNLPg46lgXRGSY6aZ/JxpBgxWMibrXAXXiw/lvAImUUbZxLCwlig0tjYyqzzPf9c/YGKMWEuWb1qbSI2tcvmmtYHUKEaHzYEqSo2r2y+qgF1RbpTk8WajAhlWNbaU4cOK1pbF+EFBqMaQZvWybyIBVy36BhJwsyWDujULzDc4gd/Uvm+uKfWWcBNtHjnopTUtIVpVRCMya9Qssb7j9lNmhRAcs7mRHWwgOlKpk5aI5ZllHZaF2dYJE4GLxoHAQlZ1BiOTO3z5F5IoWmgLEaMp67q1NS+vvrXwMjGSEoYVhV59E6FXL40tY2OuCWq9YjE3pbcSrNu2brcaCxZYXwnuZZd4xYAmGdzmAnCNb4APxvr40JJB3Zo55PnT9e/FDKyasz12sEXPq25VxPjqagUrWI0a5+E3JdS40mJh/V15sY6zY41FTg9+LuEJYshxY3s8obE9niCGHDdkGtDYjGQ1yqnAyjGYEskSA44b2+QLjW/JF44bCxZ5A8ZbucTrM97j5gJQN+AJlaCuzxOOWzKo2+IJS5yuHU9Ygic09KpgeM4LWMuaUZwmQlh8lWWHGo84R5hjAJD1kYnrUOYLeyEoCRnTKBPXxRD5hiHHuekb2EpgrFLhZ31biRgrPwNq4xuA2tgE1LoM6oIzqa90Jo3NopH0DU8gy6jOZBPmUM/LqFOMoUonWbr59Lys2FaAq0/d9rxDZKVm6mzTp7Aw39lIfETZ5TKVtgUTUW4/cAubwuJwfB6YPhOO7+qapiIc2ZajeZFu6rqn6ihULWTZrodQ4PuWYeoIWZ4VRLqDDScKbRf5OllVDUFLzJlw/I1HfKJt0O4JQnh+3IvHtH7zfUy7eeXVkVkCwwSz+dkOMg1YIjK/XpKyx0LoBcgL1EL5v7xQ8z70Iw9oPH4NUetcUdbZcVTxtibfNnRNuq3Lt03bkm4b8m1bU6XbpnwbqZYpv49UyrqGXpoS+TpMWY3ZyaCXBHf8By+026FmlgHUgeQckZbhg9Jt/AqghNeLh6z+Y9YS7hVPdOhkPVpZvkLK25QXPeR8bxx09wSakbe0B1QntGPs9YdCCUjXgO7fg0m/k46TEZ1eVjGOlsbjH8qyJ9ivygZyS4FB3u7E4SPd+zmQXA3ZmqbPgySXc9vKhxzH0BZ9CDJMtvEhcqBtc/ZDtN4n7mEqecB3OkxuISOPQziunVGSjLN6fdrg4ezQuLmCUoDST6E3oPgMP+NI00zD9AITYSvSQ9vwHbLjoR64duAbvu5agRXans2oA872lzdBheaDtRQX/SO7Hmw6mWQP3+Me/SsdT4X3HlP8Bc4DLUgYsmeJ6EJPCcdYMuWAUfLxI6s+CY8DvF4QAAH1DB9rGDnkkOmeGxmeb7gm1pGmY90IIi0wfEv1dD5JcsTIS0GIHde19MjUsKa5qq5iC3nINK3ADgN4xXA8zYCQV+j7kfTjrzg/gUGPnFve95EmCz2JPPOP4pzzYyGwiOIK7Q5b9C+G8yHezrjxwjG4aJf/hj6f8ECXaFm0gO9crpPDuUrKiS4CwuWFnyfpmFoRXs1VOARQ+hznqjKjdGQguJxMoMvyOyJvEFlaW9BYNB7E45gGdeXD0G6Uts7KyY5y+r73y/DX9vgvo/TLJPkbCCoPCiAB7UJFuzkz+Xs4Sm5H8ItL8HSLDv4y8NPh3355Ofz199HvA/iPjHaYN4FmtfFCnMa3hOXCkF3cGzKfqze5xYuGVi4HvfgO3M2spzY8Rla0n+7DQ9O88Q34SKF/JKRkEXWXiNDDmj+twf8VcaaKj6cJr07I0rqKjrwpDA6ac+7kpk9Ao2B8oDTv8Wg67vLygcoAs6nc0aUSmkoWaWi8rWJEhK18ROioy5y65Bp8K0m57Z+IhxOyXQr5AS6FUUz+gAtp3jaTYCHwowPlOElCpTcJ7ugo1GdMFKMfYAModvZjRrmK+qKcOhC2l0wY9nmTccIRmoo70BSX3CPTwB3o6krWmvUHZsgJt1mX25DWKuVXWfPvtd5NCATdotfxHZ7md9hQlEE/AZ2CWNCsej059EMqZdOWCHRTfbKodznVwKBnBrjg2rl2AWcQqExMe1hYhATrum4R2YqQJYH+dHLKmg2ZNfjNRYYF7dgd1yzrGU+Pr6YZT+xRKmVSKQLaLtKp7fVpIYGsxcZTPj3GhDqEbpNl6tCC+KxN9n3qEU74z335N+z7gNWZ5wxIuMloWSdrG/NfLfqPXPbZ8PkNS7MaFph9gEIBxRmEczeF3vLFYVfOGdQKsMqMqeiSOG24huvapqWplkSf/yELLTOixYwA8M8yjuH1bsnajrv9mK7DPVHOQRRIabP6WZKXsRQGpLDrgFl8BXmT8FsUhWZkq6Yfao5FFIlHsFBlhJitML59PLZZb+zJKMXZ9aIvNhCweyqNz/Y5Z28QMQQkA6nPdp8gEitwzIe03tyPg4ub2+hTffZ28T6tLUxm0GGiKYi/jNEQKT4Tk6gozRoJkWMpVAAneEpEMNrUIBNiBaHU1iQhVGRNsGzT/rCbDGCKePqm6x8H0CS+ffm1jU7jN+4BuXj36eNZt/15aLcHRSf6j5qLwuPTe//6KgqP3dHNtQEv9vDlMPl0F372Lt3h+V3vCt/dPV70e29/OzfpveuL0/Pg+GzsN456V9rj6Px6eO9dnV76x+ju6vrs/LqP0vPWzcfTq5s33sdweH3RNk+uTycX/cfuFWoNL7Te2/M79+P159b5SeNKJ+Pd4H6r5Wu9kw9q8vjp65trfN36eHnde+9dDt9eoHBw0gpHF4OjO39wNL26IrBd35y96715++Hq6C4YNLXrxpurT9dhN2icGOHd+HV4fTM6vWvVg6+90/NL9+O5Njy9PH4zfHf1pnWpn8Tv6m++4mv04B27E3zl3ocfzz77Gup91K+mfr1ttftdNXx99PW32Ln/9PHo4V0fmTfXZ+iT1lJ9vT35pLnjd3qxlu/0o/tAP4sC/Sr2r3tfA61375PFJ99B3vUHWNc3v13foDPU6nuX4ZXfuwQYUKBdTYv7t+r13ekwHAxHl9dBHH04eG3ffT40Lt0a9huPr137tt7wu97524vuw9j9evLw8PihffPau7kPodJahgg5Wxgnd7SjexVadD/pZ8Ow31Pxde+u/TmJzy96/fAyPLvp915fXZtX7fghJlNFweC0J01DNR8+6Z++es1kmWmcvTl8H46+WB+1S+/WG+rO/dvjSXRnHR6l7kn7t+u3n0/e+3HtrHmelk2DcrW97ng8TF+9fOkNhwf9KWjJHlEfoD/8y+yNl0T2IzQlZ8B7Ba1cujE8bTOe0dV5qsHqkrNG5LTQefD1pNsYoweqDNHm9MJdKCxen05u8ormVQXNoYB6Vf10uFdczQrWSyL2rN7JeZBE1+d4gYtsEEnFBukG4RCqaSNHExukV9J3LjIH3SSmfFrmmCBG5CUEwNgGNq04IFx8yuvJ87ZSe7QJDDyQd4FXV9MGP0yvxtdmrg3yn7I2mD+TFWAgSxBomqOGjuUTnQj7Jkaa52hIDwwjwLZmeAbSKrRB7kMiO7MdTbBC/XMRdiLdxJZhhz4OfF23tcjFpop8zXJ8x1AtHaFMx2Xqn+uprhOZyPd928a2H5GpaVh3HQurqulanqWrDjIp1yxR9oiogkcDr0cYHFX190RNi/AmotoUymK+80+yZfWJS8SCUXBParxH7QdEhPnrq98HCvkXJvH4lQIwsN9USmcXBO1QUyUBhMgVuExsiJBvIRernmeA2AAYkynxYzJjECO++ByCGUmNCyR8DvwtjGv0RTiMw17iwWcuyLfhkSwkN9vI4cQn69kVzEOjoBvfi+Yiojp5+dEFgwqQtw/8PO/tz0hQJdYe6XhzOa3seDt2xfE21e/qeJ/p74N308LYw37OGHuyZ76j421bAY4wORI4cHw7DJBlB6aDfCf0HBSqmh/q5OAiLB1vzXRs3VFty3TJc7apIRNrvua6lua4NvJsPbJD13OXPN6nyQBv+Yjz8jvrHXFj+SOua6rvB9p/2BFn2uTMEaeAlx1x16044pb+fR1x2/IGBQfnP2eOePbMd3TEsRsRLu3quhGGhhUGkW+5buC7gRs4QYgcrFpu4OFAOuIhYfmuhcgJR46OPcP1IzKVCBuOZ1vknIdAN/wo/JM4OHPoffPjbXimbYDM8t0f76fKd85FXaXXTwsdwLkbP3zE558/UGIqDjhreXpaRmWpUjzo8X7M3yoMJ4sUndW1lVuyfoOsR9VpfBePQfyMvH7cm2aXj71eD98msEfQ7B2WZ0CfvOU3/vcWLoPGB4ad8Rj3h2NuHVysenF3Y8rsnbl9kV+EBs9jsLEx2+VToVvtVKmdKrVTpf6jVCmyr4VXw7vF1FENroQys32aubG/lFGBL9ldOH3ZOITCzHWVq4kv1sB6ayDyzzRNENLLmtB9IwtUwWzmvriA92zZcFXBcWicxRAs43NxFaV1LZfqVsc69C1d1TJLNOJBVOBFZn7CEfkK+CBDwn+mUFEXl/Wqy3ubzban85QIP+QeRXLqUo87RvMYS+ZInR4op0JLOlr0Ej5GvvOYVWQBc6UwRtbZLvPJRjFhluD5LG3IJvpMxxn8zxTSPKcQXIgVt+sJd+rA1GYDBM35aLa5SfBVzSdh2s6BckQehJxicH8XVUHJgstx+OJ7RVVjlplhsuWRPjni6cU87VtJE6kVXeYxHmGCr2GeEzYCGWRAq5QKG/ZcQzcy+W0lqJOhNivxW1qok4wqlS1YHrqSfS6JA51f+vXBrktg51H7Pwowrxq8KsDMx1Og1pFPPcJSwkfCz8c6kxALTjYq1978Fms/fzhWXX8h5nWgaZFYGdp+5mX7+fjTzOvyQ8OsqLqYkxtCv6AhpEh1hlOR0NKQEHpopXV5KOl2UU6AVjrmR9Ixf9VAdkHwgfiy7vbKyshJY29YAz0+bEbKGUVaFfUW7B9aHm+Fs3choBRtIrgcH2iW8AGpx9S/kgfMPEPwhHEBSvzpOss8oQLy1bFGLHbW3B5zaG6NOYhlzppbI1DNUgJFR9y8A5wMZmPrYDZWBnPBmbOeedlagWY2zYoaTnNHdA3a2ayineuifkNC/VfN5wnmcrsnEEw+7CYEc+HmacsjqJACdwx69SypXK4J3y19tVhxaHg8pzTkO4ac51qTNdHWmk82t9fHQyw505T7eLAd3eBEl/fxyIfdvC1Zc3Efj5WyBjdf0wXIazzz8hI5egXlmW3ckd2ZsSjNfHCZ9CChxlC+8iW9OsA8lBAMSTssfo5FgrLYSBU1DRewXkjFyMYmf+awkr8JbSeTrJt/rf8Iuk+T//wfSvOb8Pze/yPn5AVDmJ9poHnm9ICh5rOn4HIdqfDi+5OLF3X7JdL2685+3drfR5DfDXXcyE0oZfiiTqZWRy75z/mZ1RGtazoFgRZ7q+v/n70v0W4bRxb9FY1fv5lkruUQ3JnbPffa2uIkdhyvSWb66HABLcaSqIiSbbmP//2hAJAEJGpXujv9mNNJiwvAQqFQVagNZtaPptGONJ38VXlX9fx5nT2vk+f1/LlO4ahrdpXlDjY5YNcvmhSupr3fTOFqMrjgGYGoSSBrInt/X8kHDY5cMrriQ1rAEaFT0OEM5xf88GcwHJvZ3UPxdo5ben4UvcfAg5vspB12k8LFz5OT3tbFB2IL+smTw0/S2/SDJ8en2ZvUAshokEa+5vSX+7XScYNTYdzruUMaaADmkXYaJYyo5fQWt3FAY751ndtP2kmHSFC6D2LCrU0z/bL0r3aesWVQ+/VdfodMQeqSCNKO4R78bHuY8Dnczsz8yJx+uU0te3yl0G9B9xC53r6P4m5qJOXG5h52+xB7G/eDhHQ+esCkgTQm1XxmBrx2ap8UbXiEi0VBZkcV1xd+HBAulj3KgIz6ND9+7HbTL/x7j625dOGBj2OIIW8ia52igUadfxsDJ8/WcIoLvobh1WwF0wuAvw+/gKOAj2gVEEijOUt8nYEBO2Brj61+tsrZimOLnC1ltmAXDNyUB87YTD5yxln40BkjSS8oo+AXdemCsgh+wdhDepH3thLu1h0l6XQuJ1kHu8c6YzKUpTAewpgG4xCMHbD1vwC1tozalp4jgrK1HMuUnwmXtvCmiD/Gt7ILsUNkihfrkSgdbmudMT+nS3eeYV5mTkRxHBDVAxyHbeY5y+znqmXqot+gPeusoDHr1CUxz0WQorndY84lQTJTmQpgUJsKvAtWc1G9IENRhZca817SxZcoS599Sxbl4rcZKWctCjgAaYuEBs1VGoiAswWypIEmNdCWNxBH3VzlC4b4Bbo2lzQwxRlapYElNtCXYknWNMQ5oXSfti1mHFOTcmyu0kKclWN7lRbitBxLEz+3iS41UVdpYkhNVhq8KTVZafSW1GSF4cMMUX1iFN9ishUdck8r06HSyavyhVXNVaq5ygP0Btl4lPOwrgWuA3nxmkkEXwe7w5GHXW5EgTQiKEnAujQUFHqmGlQN3daquo3Dqmu4RhX7vuWHqmqYHvhWMx2I792OyG86gTRXLPtCxvEUZDmIcLwYBpppUAxSecwIGcvGKA3LVJBtOro8LGMJn87AZ2PWFAt7pl31VTpmpFYdz9Oruhe4FjJCHfuZu3Y+My7g5V5Lf+f4Z5dzEObMxZel245hqkKzbOsLd0AdpbUCtsOcoSqWgmTMaX8FzCGjCHN5oheI1kx5T3cfCgv+AbvGqM1xwB7A62sgxbMtw3awVg09za/quqdUPVd1q3aALMsOldDxtY2QIkQVLKKLZW2JSkJzswOiqYRdl/ILqkTOHtnJ3PxTNUI80/GDIMSmR55amot9Wwt8G5kecjXdwL5pmMhzHQM7hmGbiu66tqcFiq4HAXkALr+pGiFb9wgzJObSp5nxLPgmy4pnl6lZhV0xKyL7zTPhswIZo8fD8ahDc1AxxSdFZzAZG4OeZxjGUziKIwXFSPG6yZOBLTzqjiFmaQBnBqepyiw6YhwFZywfe8hCkSB3epJ+GbKHCYqJjKATwG6yMI88QEwK9hDmiqxiQviWrptypJyBdMUyyHPdziPl6LLpukQOdaR3NAeWFNzOtuMai+rp8girQeRDZXJ2kUChbqrg++NkFPcAUh4sAgcmJ23X9/FgxAse7/Gi38I43oc1MCivEJC4ZojjgoAb8ghwyvHZ0b/Uovunu49QfSgCiOEghoxoyC4JZsTtJqwsSjweJDxiMI/NIXv9EUv1FRjCr3MDqK5gRkkH7XggVHEQX832GOkY5OnPNhoF0w/yonD6TWH6YVqgjENWSYdmUI/idjLAGEgiJX7qJLyf/oRNHzC4hVCq3/a8cdQFOBMa+AIT24cf7enuGXL5w4E7ToTU9jShOR4W9Pic5efPPoClhIsaZV8ifC7p+C6NawQQnsX6N0QHSV3kUDelEwNU0DSgrGJPTJGMDngzfA+Bn/A+zZSU7r66R1M3gOcOaQ0XichIfyx0ds9OJnHgVSdvR2G9GjpHnqnZV+eDK1gArA8gszwxvXHPynfmd45HuJfebUG8VnpxQna8bnpxHeGH9PcFY2rs8tdnuk2+jyOfp/P3iFYaB3tCCZrn/TXZRzy8dfuZjWDvZNLg2aWVCwiIZFGrdGQ8wG5PsIRfXFVUo1KtVo4vKggp8OvNeOR3qIr7vEL43CzXhNINHTeIH/Lo0DnLXARI4uaUASzgMawHHq8qdbOAJ9RYZ2J8ohCQHvRcK+lPsYIn220eOkWswNY0S8hRWVDfAc3WdoAeDBvpuibUQ2jhET18+oKn0LO8GgqapeosfjAD7ePjm5atv0ezoBEBZZuGsQVoZHeCHMMSQKuxEov9oHKTxgYmlTNeXkUE9LplaqoE6IVqf37wPGsWUMNwkAYFqzYF1HKI+mQ79rPs13EZGnOYL+bCizXn0DgV4X2HT/XLQWh8nYHXcogqb9j6NvDajmkiU4D3ImYHjtMk7qhLhDpcFUF6cltvjWRIA+vaN/x6AaQOAVRVFkCqL4bURoqlakjE7GwGeuORbMQrR24S+YkAaahfvn8n0cD53btOb3zy5d0UpGQrBR/RkLopTon+TGbEUKBiXAbpee6OBbTWuIea+p4LMBuefT13H0V4YV/0VrN6yTS85GuOpSJn43VP94PIQbSmS0YDzE9TySwYxaTad1ry0rrynpqXjY/+t1kwTUixdBahVcnA5PV2REhTFVOqpihZvgoRyUK8RQiF6O0pCGlJKX21xb9KgZz1CyVkcN86V18CCbPX1+PT5q01w/gJu0KaYxnOxkwLenAs07YcAWay1+5it78Yu7cXn8LJhQTlp8G3E/fx3dEslJquIgXZW0CpG7pFfghQHodLAIzf9B+ldXT95VvUGX/6Os37SfeGoauWba44/Y5VAKOuEG5qE3184eynuH0f30Y+JYHjpmwfXL5R4Box24K1iWa+91rUy/fTJ2AgQMJlWdimLGxzktPDWMzRSdNhCG21eYhNm+cYeSBRq+RBlan6VXAnEsLmb9+nASl77y+Pq2gA9uARofK8LFpma+Z5UIEeaoESOFUjVHBVd3yn6oWhU7UVbCuqY9gutXhPdxLGkFsI5Vzb3AzA88D4rmLOR4XieIWbkYLP5EPSDqjrgO9xBoQrkBXGDIhB7NPK3m2iHt9Sk38UDmFDWfz6EI/Gw/7y4jtsV/vqAXuv5DJaPNGnnc9anl2aFndrgy2LvTGKg3jKMCyZPqCgHdniJDEzsrSpvUU0tUy/wHA+ZXWZfmdMPSGsj0rxizR+jswhtQERHEUsKGSRLYjvF8lGnW2rpge8trDNsbnatpOyXbBZmhhppuoGoUbUWhQqlokDg9ywXRWbNibqNA7twLICO1QtxXeowd6n0oNZGuhWqnIYBFG/SrP/uPBAhqaZjgU6MjezRLf9npCGyaz+bcl+SAUSXwVcRwIgLVVFuuHoihJiJdDCIFRtR/E1VTM1JVAUx3CInLId3bCwoXjBQiDVKSAtBbxJFEhqJhScC8JzqKBICG/mGVTLowmLbWb0oZbF3zYzpXOMpHvuvFSGHH2EeOAC++xGfi+2689SgLOyvVJpLHcQMRMvyxbM1Y4b3b6/Nr9+7k2rHRQn5MPWjAWPPRA3zXko3nNZF/uPqou9WSFsuimA2kEzhbDT2oS8evGqdbHL6s5ldecNqzuLmv/Rydcr9QL5oGB2vd5Jdu+j8rb+/qpzeXrZmBz3lYOj7vtv3tXTt8ujQ0M/09Tmqd588+1hfHT3+Ni8vw0fHvvHpzdnH+1PjZPYPDl5ehpZXvT0Dn/wTqPoVnVubj8lk1a9e/SmEWPjonfyFjWqDfXw/K3SfPfu84HW7hyeupFRq50eN7/dDI0v9nXz9uCwde2OG52B5n1oTepn/tn9zeTs6umm8SG5Om99eWyZ325vP5wrZ1eND+P6qf31Y9jy229OtbYetE8n118+JGg8sR+Pa5/RZTuuK+N3+m347mtLvRw2OocnpqedKP57ohxeHSgXk+H5WP1mfuidXvUC7cE6r9fuD8l/N+9RJ1SCjw/I9EPvzde7vemVuU0x65TVl8Wsy2LW/38Xs0ZwaAKR8Yph00p7ZS3rspb1X6mW9RJlr6w2XFYbLqsNlyWyvleJrM00/y/XJ/jq3H53ZJxUH96890ZB+1rHR8df9PNG8+3HrtH4aAxOriaTtqt/Ofzy/vrRH7qX3mcfO5dj1au+Gbz5eByedd80H4af8PvO4bVyh6pfFPXzcfPD0D14Ms9uIvvurIFGFtlmX3w8PtPfPhx8qOpv29X616v7lvdlNOh91qPH08HbZvUuqV7Xj8xz9/E0VE6e2rdvrf7defhu2NQPL4+OTo3rj4e1lntwNWxcn929fbq5NJXTb/G72pdWMj7/Zgy6Vy4hi5PP9vXp6O5tz6JlKMqCYGVt5bK28g9WW3kjhtZ59MKeXRuddM8uxh9rHdMZJ+OHwdC2zMfjlv1VPbKM7iO+eJPok8/R0+d77bPjnXS75tdv59/6h++uP44iL9KOn+qe8nXcenN7o5jNtvvtrF7zbm+v7g4sfaKjkfO22znVq5/q48vD5lP39iA5mQzeEpKrORPc+Xr54czUe+jhWkFN63Pz7HDwqeMlJv78pq2+M2zv4fGq+kW3ho+Katx71Tvz7kBvXUTmVfgpiu/f3Bx++HqinI6NaNx7DPCh8vX2uPPoHN/4ytNT424+QysrSZeVpMtK0n/GStIbMbN3+pESfrk5hhwQtY6ePjbi4GFiBZ2r68fHRmhcPt0NW82+gzXzwv1w3/qYHCUfeoO7u7tGvfXm/Sj4aBBFtGNduPbhMFQ/P12aN/5dP/w4vn6n6n50EHoXbzqDw8vD48vbL+3Lw0717vTs48FV2Bnd1dx3D93G7Uf8/hM+e3tzF+vHunub+K3k6fpsorfsm7o5+Dq4++q0qtXz94fD9+cP2tdWsxHXD9TqEfpYO+76EWldvfiotPG9b5y+eWt9i7uToTe07uvG/cf2p9bnBdpZWTe7rJv9Z6qbLccZpnlXRXGGpqDTrn9A2ZwjNSWraukh3r2H+E/t2Nvpsa3P7OS81WvAM/65SQn4UoMqNahSgyo1qB9Dg9pNwXvO81jBe1UoeK9JBe+zuLGq2LCaRQ0Yjg6xqUVhZr9PwXvxi3/qgvdz8sTTIJ5UDvPrlML5JfsYvyhzxctc8TJXvMwVL3PF98pc8TJXvMwVL3PFy1zxMle8zBUvc8XLXPEyV7zMFS9zxctc8TJX/P/vXPGsbmg3HnK6+22vgx/3hKM1MCig4JxDhkK2Eml+OdYDL9QcxTVD3Ql018PY9wmR27qr265ueSYheGwh1wt813EXp26X+eVlfnmZX/4niR4o88vL/PIyv7zMLy/zy8v88jK/vMwvL/PLy/zyMr+8zC8v88v3yvzyMr+8zC8v88vL/PIyv7zMLy/zy8v88jI7qsyOKrOjyuyoH4uZlfnlZX556SEu88vL/PJSgyo1qFKDKjWoMr+8zC8v88vL/PIyv7zMLy/zy8v88jK/vMwvL/PLy/zyMr+8zC8v88vL/PIyv7zMLy/zy8v88jK/vMwv/1PnlzssdZtQUTV3HeYZZrqqWA7N2v733mlceXCHfQrsr/zUdN3Gtmeqno412/I9rGM/dO0gcJCueo6BDRXrikq2fTph79iY+WoMJiOy1qn5derLKnXXMenI8lUyJDBT9KINenuRbbhdZPbMjdTtIss4+WKEg7YPGyxq1yEoox6+qVx1gjHDWtIb2EPu3W4UZB6BTA0W9U14gB8H2B9l73FPaUBYSBDdR8HY7bZxEDETzjFwkWNIOD0G1naMFPqvSv+lzxB9yPPaCRPoZgYU8iXWDShQcztvrfEF8MMQFt73KRWT5q8z3yjtQ7q0gYQDSn3QqXChihe6eGGKF0IHrewtWFB9+AU62L9/hbVSoNavi+YaHXWT/ltTVfovKPtN9lsDDNTZv7qyCNNmMabX7F/Gc41iL8dsU8Qm9CZcaPlFU3qiCaitSxe6sgi3nA+ui9A6+K8b9J/FpKkUI2yqvYwQ8lDER8PIR9PIqWZmNM9i3nwWA7topVIK/6X24er08kVLf93StJcpobO7h+Jt+PIvF1cnLxr66wa/R6eK3qzrr+vpTZiYXw6vG+eHrYb0ti4+EFvQT54cfpLeph88OT7N3oQhps5cAv6chcHo6Zezk8sXNesVUvdr9n7N3N9/mdHWL2fXL5r0UdPeb/JHjNJ+OT+8bLyoqcp+DTnkr/3yn0jNSO+XRrPZqJF+VXUfqS8zKvylSTpEDu2RNG0SjrSvvMzoksGiaRQYTSd/VfbNev64zh7XyeN69pjS7i91za7WNDsfPmDmN4l2Kcn8UjP+WftJTUmGXP5X3ciIhk2d8bqBrJdMcjMHeZIWFGEpIHJBEaAggTrbPebzFoiLzgS1NFJFpIjSiCTCVP8h9EY+i9ZpYUILdZ0WNrTQ1mmBaNKivlYTFZoYazWhgzfXakJHb63VxJ5eJdIEFS2ZrHGNIQKt3KDJGqirf0FVZ2ZnSQNtZm4Wg6TOzsziL2jmzLwsbFDXZmdlcQOyiqeWrjwn6TrOWxizaJ15qWHMYmb2JUoPNF6gx/YTv02phTxIsp2VJbqP4m5qV0lz0N0+2fZy4aXrhHNgtw9Jy3E/SNoeHj1g0oP0lmrSEKu7dh6z6OznMjUVjzP32lQFBZcbRJ6RO6T7ECo/ZUFqoINQiLOeHQWiAKHqQeZtQ+waHFzxAxHI4CShjUYx2ZN2mHt0i0pMsOviTLDK11o156GLdf0CPVsMop2r7S/cI2Rjycr0wB1AJBs43QLRuN1NikIx1GWbBhq6a2lQ/KqD3eHIwy7MpimAwV3IR+Q31QqpWTB7ObMLK8gi+y4WkQjOgFGbjzI1fmfUKNyLYQIzgmXDKkKq19LfOf7Z5Z4MprEAxzMDNRVkm46+P0UshqZYmGxQq75K8YbUquN5elX3AtdCRkg2ldaSWZEJCSFjrxh9zlzsWbrtGBDnsPHeEva2a2BOWwtzBtmIK2hnmMuDxHeGO2Rsg7tfAXu7WU4OeaRohoxttP5yYt3sCi4dkT+mDW4/CS59FrDc4wC2poPHbvI4B0odGYpuWvoOocyq7S3B3lpAsj6f2daOxYwHREiFXfc2jXsAc5Ljakag+rbh2raqBKGNyQQYmutqimbqio3gh2IojmGoruorpRGrNGKVRqzSiFUasUojVmnEKo1YpRGrNGKVRqzSiFUasUojVmnEKo1YpRGrNGL9MEYsfogGLesB+RByQVPBNqMZNrNmsSB2+KarGoHjYsKbdNf3yWfdEFm2YRiWgXXbVqxQR4oRYMP2HE8xp6O/2OKpsNBj+WO6ouncgMWPzeiPex5NgMqlm5iIwrWNw0Nokr6LxLoSUKKZ7zKy7Li6Ubl3u2NciZJKmlYr5t6Smep2K7Uh3+eK7YZ55kNNXbURL3SQVH7a5DPGgka/pnnA7W4MeVqQpHF4JCJDlYpsFCLjdR1ZUEychxUOcYWpaJV1P1wTP6yJHzYLPtzYcBYaq6NnXqP62jiti0PTxaGphUODbe5OcNoQPyxVTNGLPozsnNrIhns13JBGAnIY8Cu3XGMOZwfIuZjn48BSfYQNx7SIXNR1XyWsxHd8lfCsUFMIXyCcxnYcoghjFa/NxQhjMae4GLBKx3EVD2k41IngDzQbe4aiqKGnoMBwLN/SsW0qLiYsztTW4GKGaSzgYqy8YRalO2dDvYClGQUTf6zn805NZyvNH2klTDyzta3acKt5X8ilCsdnTo3vcDU4zekBNlcdobn1COezw8IRbrByj+WFS22XqzbcdnTzOWLh6JCywfBII5FrUzPsyi23HeB8zls8QDUfIDcxrwiquukkkpbbDrIpDtJcPkh900HqG8/k9qymJQ7SWj5IgdecHH5aEUxz41ncntO8EQdoLx+gwGpOjk9XBNPeeAZ3oyS4ZJ9tmo4f+JaKMNmma64SIsUNyEbf0T3VdDxNCVxkK64XhtTcvaaSYJjTSgJGqqL5ru0EOtneBqaqmx5SMPLs0FVVB2l+iFQP2zpSAwVr/upKgqGbyqKtDnWByOnBeH21oCay3bOT1bSCmsx2a6vpgtKnXqHVNkfTnzI3amWv3Or3VVqaEvavV4KyKY+tuRpGplutNmXNTaZs+lOrIb+5A+Svp0/VVEEgg1d1NSIRW/1zVSpWJRFeQysS5HQzZ6NmlFOs1uz31flqqpbjknmuV4RUkwe46iwIn1t55rTfWU9sigTWXJEnyDPeXJG+ZpqtRl8ShCtzhalvrUiUzR0Q5XoqbE0zN5CImqTd1bQVqUv81soicfpbq2lZM830lZv9vup1fZMJqMujW1X1rG8yATPf2rDZahNQ38EErKf+13VZe9JW4yZTzeprNNuF9m/5rmmZgYsD11CR7bu6ZyDFQFageb6ianBeVaB6hqmEWEOWXTo69kpHR+noKB0dpaOjdHSUjo6FLUtHR+noKB0dpaOjdHTslY6O0tFROjpKR0fBp0pHR+noKB0dpaOjdHSUjo7S0VE6Ov6cjg5+tEnlMAiiflWfUsZNR7O5Mk5PxJquxMGeJ3h4j4czz2zb2Gfn4bXZ+Ub0EK2t8hiz42Vye6GcAI54eQP22Y3ydVj6VHYsJjuwhjRn9fDBBOkOoPo8fIUeKPdb4WF1vlhenybokK9aMydV0S2PZVvCSVV5UYT0hLzL5psnSqkzx6KqM8eePstH6TJflQXJWmlqWno4Kj8mlIMPdkN+At3neEwt82TEg7hPVwyY7CujIfkK7BQDN+pOKolLFtBB5bKDK/TUqUrcr4w6OLfuP6Qn01Rg2pKKWwnxQyUO6Vuks37i8gQn6H0CVav9uDdw+5ODymkMhxmQN90RfZ1+jHznseL2ILOSlrMW+qiM4pHbZR6FfjyqhFG3S8g66h9UaqTPLh5h9llIsyUv0y8Jdwn8B3s8Czc/9fgQsMIX7AWF4NJ9zBFVi/nJXTA0NmryxQqkKlfqBv0KP+oEFw+CYzUbBKGEg8oReZEsFWhODyMbDCPSAUF4xmWmEZh2l367ZjD0SJ8cAhTZG2oliRnKU8B9t1/xYNLHCUEchawDlz0iJGDSxQkDVOX8k6NKwFWxIzEj2pwW96ixgZfbJ5dATLxljkfSCUxpIZPMun3P2GJ62XCHfVgDKrA7DuCRBOC0x3JF6ArmOYgxg1CeIBn1m4Ndk8CWfKbZ6dibw8z7IwRTcb0k7o5HWBxHzNfHJoNAwiDqc3FvfA/czy6OdfFPBO5jr0uh76tq+FWA0lrS2KLV+YF1Yu6LJ538AhCf89svUh/93+rGy70cTUcF7Ibwr+641xe5zmAiMlpYxhW6aCW8PPRXZUBrLfMjaZkvcpGvR5wJQE9rMlR4tykrZxxpXdJbMH9odboV1t6lQFKXIGxWkwONAjlAZdUfIQOm3iF0wqQAZf4Uz7JMmAP5+lRTE6imOL5hI+HQ2JlwqB1JAO6IQTUKGdR0aMY6YNbmgVnfOZjTwSBb8UxzSWNzDZ7ZkHhmfcES3YB3Nubxzk1Jvy6R/qL4l/VmT2CYvNttGObCyVNXJ9BGPtgWHKQ+zSqvEobNi6uTSsjDOmZxfUub5hh3ycTMbBqyGUN2Ed4bIt5nw39WlU4pjMLXtuI5gnBpHMkQFsUabbqiSXcFS7oohGkN7tOoyQAvYONL0DrFxrfG6QLi1Zc01tfhPMh+SW0xBbGW4pZ86oOwtb9OT9RCqTHjdDaEcwrzWU9nuB+kVaZ4Sdc2L+laVLx1qq7iTgrwbVvKcLN6hTstSLiwnuLCyojp8P96FSrXq6uYV2WbLl82U3NNrmc2Xd1XKS6KtloJNvhZWGdtQW22pUXjVqkR97ygoJRcbfj3KNS6dQ3WlWq9/glL+i6qxju/AO9KNXenyvkKRXtXwt26oySd/rnqUouozas87/9+xaVXQvPalbLF4wuLCxLuuvj4kpqKBQVqxVqbeWHN/dlqmWmtzbywZvFLuvgSK/Q481ZB7VWhuur+woqhae1Vobrq0gYi4GyBLGmgSQ205Q3EUTdX+YIhfoGuzSUNTHGGVmlgiQ30pViSdQ1xTijdLy6tOzUpx+YqLcRZObZXaSFOy7E08XOb6FITdZUmhtRkpcGbUpOVRm9JTVYYPszQTHXWVQqtLqxGmZU8Xbl66UbuzU1LnhZVMS2qa7lBrdKiaqdLC8euU51z/QK3QkXRDYuczq+lCvvpLTGX1iotqnb6Q2MOGYtrqdJzPQpq7M4pyAuoXrl66e+ynPKSp6tXL90JYBuWPF25eunvD2Ra8nQtul8x3GSrktiLlv6yQ3CKi7c+F8ST8KgOHsfR7rgJhAP5ODBs03IcV1McxVdd7Hta4IQ2woYfmJaHQoRxGIaab2s++cf3LEcxDdN1fIIHGPsw7nYJsDvrEWYojWQJnvq14kgWfaVIFl117DUiWS6JzMLULq4plRP3azysvMfu7RhXjtwEe2BWfnHy/uhlZYTdXlEsSyJoAGFGnNOBLfCmqiCHetyQ4yiVgTsBNNIbD1EWnQK2bOz6Hfq9you+EOQSgt+NglF5oEAHZOQVNxxh5nCg3SbYTeL+y4PKRdzDFQJ5JXT7CYtlASe+h313zC3sXTZQagXuEu7Zpd7EIb7NzezcHRiHlV7cxxP+efAFEvgpsInbdYcRD/OZEExCl1lQDnufXiaETzBvYy9ORry/h4iggA4/vX9L1jntLAIsjrtBZTAe8X7CYdyrJD2YlJ47vMMEsS9o32Tl98lwkoRAf4/7Y/yy4oKrlWxA3eDe7Y/cW1wY5uNNKoQtYZbeIjo2Sc9kcKnZN3lJLdHUVVQ5FiaJdAI4SzCuRKEEGgcZKGsWlL2FcUSXMPVUQNE53ZtxjVBD4QLnCAtohFkDAmCAEPgpgbxgDiFuZFwWplOUHLupX4T0tSO3iBgFMScRd0OvCOmtwClSlN67DNw58TnF6b8buba3xKfkz/MwskWXiLGksbHcJfKPwr3RP/52rM+JZ2H+2Jz459D94ZqE/wLY3VKiF4NWCjOmN6Z6c1dUf3QkgViYnb0p2ZvfgeyPahK8OyP77RD6h5G9KZK9gBrKlS+4FJ2l+cVucClOiJB9Ko2JeI6ClOcvC7eZzZ/fmNh35vkWo23m5OpvSuvFfu+CtOM1aF2MuimuELAZrW+Hzz+M1u054TdUBf5utA69L4uvKaimsDGxk652RO31IxnConTxTcmddFcUulWQhb4GvddrMsA7I/gtcfqHUTxSRJIXYpwoez+8x0MY8gzFc8f8Aqp3WVNG7ZMsukxS6pcFN82psLE54avfI8BpXjmPjQlf/Q6MvlGTAd4d4W+H0z+O8FWR8JtTvP47Ev48bt+UCL+w6srmhL+zLWzzSIZypxy/cBO7Jcdv1mSAd0f4P+g2Fkn72NYUxz8Rs8BSoj85/CQRfIBHeNiL+uxpz32MeuMes/xxqs/D8efx+ZZE7jP1dzYn9Z3tW1tHMoQ75fGFG9cteXyrJgO8O1L/QbeuSNq7vpni8SdRv4DUj08XkXrUX0Dq8zj7G4nUZyoxbU7qO9u1vjmSIdwpVy/ct27J1d/UZIB3R+o/6M51Onx7XpFJ0Sm1fiy3KUTuZ1HmBbHchV495uGa8uoh7BtO6Fm6r9pWoOpBaAauAj56T1FtLUCeFSDds/XAxpYdWJpnuRZSVMWzwsDH4GSY8upt3aPs1Rv623j1DLRWfnrm6cm9NJKnh+qXedZcxhP2s5VV9BYN/atwZxXtFKZ6P72TDLBPE/fZi0ucPGfupIdFI3eaU0/QQiBIRizjaDAe+mRCABy30ol7+KByAx4v6jijDqseQUOnOwGHHHQIGdpRSLOWRu4drsRj8D79RDC5TwiPvD0c3YJaDfq0plQm2B0mlReaqbCOEuo50w9U4/9mkPxPAS8Wh1JQKm1TXlzbnU1FdC0U1WVLQaRh5etw4lqxRWW62NsyUMl3i11EBeXgdgMrDZNlApim+pMlMV3YZT2g6/MxbK5BBCvi19ycFBrzAbV3D6i9OaBNGdBdpU+tsKySse+TGwAQz3dYPaEq/Gqbt7KAJvqeG0Gg9N7P4+6/fu5G/zqX8pK7sQurHlDqphwA7v9n7xIYK6rUCWv9zx7nuS6LoIDgAuBxQjmQlIMc/PyKfAO+87NHPtXD1BEIimdO9Ck/E6i/8mLG7pDyU+lt6v+f/qD3L/bRV2SEyyZ5FZ2kINb3H3+ryZZFgam9BxQe9mRX6cpS5DPP6XZDgsuACAiVSAeXjR7w7eaigkuWg8qb+KHSGxOJCg1BwqRBIKxT0iwZ99hHuGiRJQud9JXEi+iOna0Fual0ae5OuojO2KLCkxuylGYxS5muZbkOoLX5gG4lBueBuo0YPKrPmfYtxWDze4rBo8Z8DG8hXebhd3PpctSUAd2VdFlhWX136XLWxW4i1aVZLmTUUshwIdOUhYzAMk5jwtDJy+ests8mUqbj3hNEYNyvfBvH8OrUjiUBZ+5PjqFwUZKKjlT+0F6GlXgY3VJQmBTh1qKk8pOKVNja8I1RlBRMA8gqumMCgcUDN6GbItEjRkYUVcJdnQnNbG7U7Xw8EtcRAyQKSu9uvmNQBbeZ2++PIREw55bbQFyTIZ6p+7upGq4WOvpmagmvwSlr9QWgOt8BVGdzUBvzQaXZ2TsGdbo87TqgNmVQd7a72XJdrS9tUis3sASBWa+7y9Eqf6/oOxNCZPpG0aDLqtdAwPcYmG2fM/DV5BJb8FNiKZdC32+Xo6pzQoYaYUgmNCIiRBZBIrPH2TscfjpGXkaSzgEVAPHwDkOwPdngwDzQGSiSAHVJAhRV4t7YvEV627WmVBhEVFgIfGNOoBVzgjWVZlQcPjRbfHxFOPsDPJxkKyULEPidkV6XR7IrB8rugVa3tNikjCRTqDLOEaRsbTDE91E8TujaOvg9jCOqNifsqjmGYsKVa0DqMr01ce9BZ2Xa52gYDSoPHcx4Bjgixrws6qgzxJgZzHPzSQLK7U+WwTwNnOX0ydcqmsntHjTFh2aoqAeWYPcARTS14OOJYF0RUmMmqf6c7gwYrKRP30/dpfmHMlkBgyjibGJQ2Gw5/Y3NKsvl7+YLTIwQK6zmv+n2uli/mTkhYA2uJsaGFZ4gsLn9Yh6wa+qNkj7eqM8hhnWNLUX0sKa1ZU36kMfRmI/2bTTgeUjfQgNuNGVQd2aB+Q4r8Lva940Ntd7vawVR58UyIqNKTRKbO20/pxYIwSmbGdjB/qEhhTpoiUqeWtUBJcyuTgQI3NQPBPGxriMYGdzZy78Qh+FCO4gYR1lw9MfGKrC2s8AyMYay8JyRTRVerTCqbObsknVArc1B5ra8VoJ115btZn0BgrW14F4VxWuGMsngNhaAq38HetA3p4emDOrOTCHLV9efSxCYVfvPKAoIHudE92rKHFGwHjfOQm8KuPFca4X5P5UXmzg6NkBycvCyQCaIwcYFpxFtKhPqu5MJYrBx4dFHG7OsejEXWDv6UmJZYqhxwZFLm8uF+veUC636AiRvIXjnonhzwdtqLAB1C5kwF9TNZUKrKYO6K5mwwuoqZcIKMqGuzQuD57KAnU00jJJYCIifZ9WhhiMuEWYEAOR7pOo6lE3CbgCbhFRoFKnrYnB84TllmxK6XhzkNn2I2RqELkbJF56NtltQZ85bWwfUmgzqgjWprbUm9e0ikbQtVyDLpU51E+ZMz+rlU4qhm06CutnEvLSSmo9/l1WnK1MF1bMTndPxbhaDjwTb0Nox+CwefSoGX1Nd1bAUB5u6hkwfW8hzVexgZCE3tEJX9RXPxMg0LDU0gsC0DdszLM33dV+xXQWodCoGf+sen+lRd/eEFlwv6kYjWpn7PuJnHPKq1wxjY8zGZ9nI0AFBZHzdOGGvEdEwTgsPQ1nHrAA3wRce+jQMv4poNb3smWrbivhYlR/rmio91uTHhmVKj3X5saUq0mNDfoygvJgiA6fQIxLdJCGqdZCw2sHjfjf27/gFL6DcphaWPtT35MKQlriDem38DpCE240GrK5neuzfa57d0GY3hIMBPXfkd/YE/gDFoMgMwAkcUDmP3O8NhAKAmgrH/fXHvXYyiod0PM/77Bh2oMJN+qXV8GzNQgX9ZrUTN+5ZJ7NlzvacpnFs0a1dAPDc8w9X+g5p3Y6CR0rWRd/UHEOd/aZcnm4nH9J1q2CW5YyZnXyIzLwx/SFaohZ3MdWn4Dttpo2RnkcBIp22h3E8SusPqv2H80P9yzWUNpQuhaMtxXfSFCJVNXTD9Q2EzVALLN2zkaMHmu9Yvqd7mmP6ZmC5FmN8OE3sGU0GMGQ4O7Oa4Czlyu+4MOlkkF18j7v0VzKaCO0eE/wNljotsBiwd4lCRhkAeyUhQ/aZiBg9sqKV8DrA6/o+SAZX97CKkU34h+Y6oe56umNgDaka1nQ/VH3dMxVaBREaEe5BGvkBth3H1EJDxarqKJqCTeQiwzB9K/ChiW67qg5BvHBsTdyLnnDGXPwuYUn82FKa/vQsagK/5SyML1RB8OV3vo3JrKd14dn6EB+nOsbCPrjCml0TQQScca9D9o605vRM7haiPDg7MpdeusHXcTKippHXM6ldAEmPk9zcVC8i6+B2PCY0vPeeKFFkg6C+rqQlyaliIqbiRf1oFNEoNaEbTbcNjdUcHWaSa+/nwb+OR38fJt/G8X+D9vVQARqgZ6glCZQPpJuKwTC+HcIV35bQGTr4e99LBv/986vBv/4z/E8f/pLeDmkztikBP0CAk+iWqBLQZQd3B8yJ7I5v8aKuK1f9bnQH/nM4uciHHzHBaC/Zh5cm2bFN4PSF008hx4zs4cm+YFD1JlX4f0UcacXDk5gXW2R5ajjxh9GAPSSdgzkg89rTN27H5NZBpXGPh5NRh1dDrPQxG8odRZVwJGqeV8cPBQ2JBpn1SNSlgHmpyT34VpxwhwbRecdkuirkAvwkw4j8gBtJdugrIUKQtAeVVhwHle7Yv6O9UCc42e39DSaAEmcvYowrL5fKmQMR6PGYUZ87HsWcnqkiR1ZZmzwjw8BtOJOY4Lo9HnZT4oTHCZkmHw5RCLK7o4geb7xJ25hA0IEqsQnZuQ7bd3iSPWFdUdXjGdgUBLem5y2QNT+gWwd6iAedVI8g9S5jGhg2zz7O9RFpSQKTiWABIkdFNlGEFMOmJwhn3Ked8dW0R0KVFPpMF0p1mPQIF1ryFs5nRrze7ngQQESWKK01qk+Q16jqTFUjOC+UjmqvR0sipN09ZyNj4qdNODbBUJue3uCE49bH8D5xiQykWaTCNUx5nx2KwEWP8JBxsXZ63tH/adI/5LbHus8emKpZN8GMBcwJmE0/mHn4nG868nVeuWBQV0BIpuJEk/YIuqM7jmWYKhRBFjjzv2V1ZUqpmBL9vxbJCrd7S3A76vQiiod7dxiBEgAYBAYtc7tUmDAghRkHouIYhGVPhneLwsAILcXwAtUm5IIeweKW8mCGYXz72LJcNoPDBKf3Twf+vdZ5C2oIhODRLUY6J1Hrqn+VtSAKCOgElqIMXZegHfrqEUJi1bh5l+bb+5F/+eU2/Fybfpy33xO1YUG7NXRJm50SKcmkN+jE/Um2ikfxHWx+9vDkbcdr+dGH6O3x1dMxOo3eOgdw87N2Pgh6XQXfdO+Ov8bRxWW3F1wF51963TfXN8b1cfQQfVYd5PdPu+7NR+jg7YebL+hcMR4+a5+f3EYcva+9Rb56Pcmf3yo3d6eDoD8YXt34Ufjx4Pzt4Vkw/GZ+Uq/cW3eg2ffvWuPwzjw8SpyT4w83776enHlR9bxxAeJuZhiUCe11RqNB8vrVK3cwOOhNYLvmEmXvgLzxKm3xiohqQgcZv9zL6RuKabMw+4u7qNtN5opbeqZ5uhZmZ5pVxWanntMy2/7TSac+Qg9UdR0HsFvOn0JJ7Npk/CWrpz2vnDaU755XvRue5XfTiviSQjS9S+B8Q1qLM+vXQZalyaex62RVK4aFbFU8jX3umuQajt+JI8pXZS4HXD9LYQeDD9hVIp9w3QnbcqfnVu3RU2bghezIeWU93f3j5Hp0Y2S6O7+UdffsHa67GwQFvqraSmCbHtFgsWdgpLq2ijRf131sqbqrI3WO7s79GGRmdqO3z1HWHYTtUDOwqVuBB1XHNUsNHWwoyFNN27N1xdQQSnckTFl3XMWxQwN5nmdZ2PJCMjQVa45tYiInHdM1NcVGBuV0Bao5ES942He7hCnRjdmeqBcTlkQ00Vy1z2b+WbbuPXMFRrBN7Umn/NHdHhE7/3z9n36F/AniaPS6AjCwa6pUsRuCLq8qktAgsgAXsfoQeSZysOK6OrB6oJh0yzUiIwbW/83jEExJVy5E+Bh4K4yrtCEsxkE3duEzl+Tb8EoaEppO5GDsEXx2cKYhkX470b1w3SearpstXdj+Anv7yNfz3v6U1CvYm0vLm8vWouUNGlHh8jaUH2p5n2tn/vtJvjVnl1Nb8/SdH2h5W6aPQ0yWBPZtj2ykkWn5ho08O3BtFCiqF2hk4SIsLW+VqLqarVim4ZD3LENFBlY9lWzPVduxkGtpoRU4rrPi8j6N+3jHS5wXf9lsieurL3FNVTzPV/9iS5ztAKaWOAW8aIk7zpwlbmo/1hK3TLefS3B+ObXE03d+oCWOnZBIaUfT9CDQzcAPPdNxfM/xHd/2A2RjxXR8F/vSEg+IyHdMRFY4sjXs6o4XkqGEWLddyyTrPAC+4YXBHyTBmV/puy9v3TUsHXSWH355P89tcyHuVbq9JN8D2Hejh0/44utHykzFDqetBc+rbFnmbTzo8n7MWuWb3UUbnfV3K7cEf/30iKPT6C4agfoZur2oO0lvt9xuF9/GMEdwsjygp0/fvOUP/vcWbsOODzbjZAvcG4yECIGpI4gknyY9W0tHpqD3SPtresKco1vqzP6a+asQ0K1oyU1voynLVOmK3L0r8gdxFtjOgbGlt+CZnpu60IzAEZcwU2tm2+Q34WT0Edj4GO6ec1yUZoHSLFCaBf5SZgEyr7lDxb3F1EUOIWVFboMkdaB/K+IC39KnsPrSfgiHmTmfryo2rGYGaFMzYUUUHef3naypueI088UFetSOjbBztCcaczIYxMNRPrs8oqOoQqi6UoVQdtbhyhVC08QtHpQGIom5KIfkK+D+DIiiMoHaxLjo1L/slLjpg/7cSogfMmcmWXWJy32yWcwq8+FODiqnwuF+tIAofIx85zGtbgOmd6GP9IzA1B0cRkTxA6dr4dF2ort2lMK/pCjpBYXgUqxdXou5UwmGNh1wacxGB84MgmM1G4Rh2QeVI/Ii5GeD5z2vsEoQLuc1iO3y+tAs08Vg6JE+OeSp2jyFvpLE0qF+qbN6iAm9BlmO3RD06T6t+CpM2LKj8cjgd5XsT7rarlhyYdFT0qtUAmJ16ArmuSCudhb1m4Ndk8DOsiB+EmBeNxhYgJn3V4G6UR71SEsJNDFfH5sMQizeWZ+Le+N74H52cayLfyGGuK+qoVhj21rS2Foez5t6EP9WN+ZUsMzYDeFfcLSmyHUGE5HR0mgUumglvDwUnBtSzIDWWuZH0jJ/XUdWzvCB+RIpCSE4axMnDfthRxHyblNWzjjSuqS3YP7Q6nQrrL1LgaTocYyryYFGgRyQTuv6PWXA1DuETpgUoMyf4lmWCXMgX59qxMJxjd0Jh8bOhINYMq6xMwbVKGRQtMftz9KTwazvHMz62mAuWHPmksbmGjyzYcyphzWzRDfgnY15vHNT0q9LpP+6sZxhrjZ7AsPk3W7DMBdOnro6gQophS3YV0+zytWOM7ylTXOMw9HRM5uGbMaQveyQtwba2TGejd2diCKW72nIJ6KwGd1iRRefiJJ1u/0Bb43FJ6KslYW5PU4XEK++pLG+DueZPgIlfTJlUdog40qo15RhviDjCsxDMaGQpD3EzEoAUagsNlNBDd0BqheSQNK+yc8MVvKb8HYyyJrxz9pPsPdp8Mv/ojy/Ae/v/ULWyQtGMC+p1Tp14EFXs9locLuGFGh4dnL5oma9Qup+zd6vmfv7kC4PJfHIM6gK+aJGRlZDDvlrv2QlWWuqBk9ZEUHyXN2Hs/P2of5D1qOm0S41nfxVWaf1/HGdPa6Tx/XssU7hqWt2leVkNjmA1y+aFL6mvd/k8DUZfE3yCDn0GQGyiez9fSUfPoQnkHEWH3wD7jWd4hHOxX7BD9QGE7KZ3T0Ub+dYpmdy0XsMQLjJTi9iNylo/Iw+6W1dfCC2oJ88OfwkvU0/eHJ8mr1JbYGMGmkMbk6Jubc2HTe4F8a9njukzikwlLTTeGVEbai3uI0DGniu69yS0k46RJbSHRETc22aQ5m5tNqZJ8ihafxgMcrvEQpJ3RNB2jXcg59tDxOeh9uZyR+Z0y+3qZWPrxr6Nege/EPt+yjupgZTbnjuYbcPccBxP0hI56MHTBpIo1LNZ2bMa6e2StGeRzhaFGQ2VXGt4ccB4WjZowzIqE9rD4zdbvqFf++x9ZcuQvB3DDGkb2StUzTQ4PdvY+Dq2XpOccHXM7yarWZ6AfD34RdwF3ClrQICaTRnua8zMGANbP0xVsCWPFt2bJmz1cwW7YKBm/LAGcvJR87YDB864yrpBeUV/KIuXVA2wS8Yi0gv8t5Wwt26oySdzuUl62D3WGdshjIVxkUY22A8gjEExgEWoNaWUdvSc0RQxpZjmXI04dIW3hTxxzhXdiF2iEzxYj0SpcNtrTPm53TpzjPSy+yJKJEDooaAE7HNvGiZLV1VDEv0IbRnHRfUE0vdE/PcBSma2z3maBKkNJWvAAa1r8C7YEEXVQ0yFFV4qTHvJV18iTL12bdksS5+m5Fy1qKAA5C2SGjQXKWBCDhbIEsaaFIDbXkDcdTNVb5giF+ga3NJA1OcoVUaWGIDfSmWZF1DnBNK92nbYsYxNSnH5iotxFk5tldpIU7LsTTxc5voUhN1lSaG1GSlwZtSk5VGb0lNVhg+zBDVJ0bxLSbb0iH3ujItKp28Kl9Y1Vypmqs8QG+QFEg5D+s64zo0vsjSIIe8g93hyMMuN6hAShOUe2BdGgoKPVMNqoZua1XdxmHVNVyjin3f8kNVNUwPAnszHYjv447IbzqBNG8t+0IWqqQgy0FEn4thoJkGxeOLpDEjZCwbozQsU0G26ejysIwlfDoDn41ZUyzsmXbVV+mYkVp1PE+v6l7gWsgI4UTGvaXMeJaXX3kt/Z3jn13OQZgzF1+WbjuGqQrNsm0w3AF1lEZAbYc5Q1UsBcmY0/4KmENGEebyuDoQrZnynu4/FBYIBDaOUZvjgD0AVM9gzyFrQQGHuIg99DstJ/btArh0RP6YZB6m4NJ3BFjGvyqQz3bw2E0e50BJ1BxFNy29GEpD0yxFMb8P9tYCkgECFLEG3Xu2ZdgO1qqhp/lVXfeUqueqbtUOkGXZoRI6vrYR3Qvho4uW/mLNEVRzFtcXEGU07LpUJNB9wmydHRbVMVVnx8eBYZuW47ia4ii+6kKIV+CENsKGH5iWh0KEcRiGmm9rPvnH9ywHojBdxyd4oGGCcp2drXuEGRLjMNOoShZrlUVUssvUisaumNGY/eZRlFmRmdHj4XjUoeG4mOKTojOYjI1BzzMM4ykcxZGCYqR43eTJwBYedccQojaAw7bTpHgWDDOOgjOW+T9kkWeQpT9Jvwx56gTFRA2gE8BusqiePB5Qiu0R5oowasLbLF035cBIMomKZZDnup0HRlJK77pkFXSkdzQHVgHczmwuGgvi6vKAukHkQ1F/dpFAjXu6h/PHySjuAaQ8NghOGk/aru/jAYUQMv95vXxhHO/DGvgPVoilXjM6e0F8FXkEOOX47OhfatH9091HKN4VAcRwhklGNGQjDDPidulWmSZjJzxANA/Faiegxf1bZgi/zo2Xu4IZJR2044EQASy+mm0j0zHI05/tJQumH1SCwuk3hemHaYEQ4CwEnCbsj+J2MsAYSCIlfuoTvp/+hE0fMLiFyLnf9rxx1AU4ExrnBBPbhx/t6e4ZcvnDgTtOhCIKaf58PCzo8TmrBDH7AJYSLmqUfYnwuaTjuzSMFUB4FmtIETUzjYiAAj2dGKCCpgFlFXtidnd0wJvhe4jzhfdpkrd099U9mroBPHdIiwVJREb6Y5HSe3YyiQOvOnk7CuvV0DnyTM2+Oh9cwQJgfQCZ5XUQGves+m1+53iEe+ndFoTnpRcnOIjc9OI6wg/p7wvG1Njlr8/UEnIfRz6vHtEjG4842BNqHT3vr8k+4uGt28/MQHsnkwZPjK9cQPwrC1KmI+PxlHuC4+PiqqIalWq1cnxRQUiBX2/GI79DdzHPK0RLznJNKBLScYP4IQ8GnrPMRYAkbk4ZwAIew3rg4clSNwt4Qo11JoajCrk0Qc+1kv4UK3iy3eahU8QKbKK1COl1M6VE0KJSItCDYSNd14TyGy08oue2X/CkFJYSSEGzVJ2Fi2agfXx807L192gWNCKgbNMwtgCN6HzIMSwBtBqrUNoPKjdpKGhSOeOFfERAr1umpkqAXqj25wfPs2YBNQwHabazOaCWQ/Rw27GfZTeey9CYw3wxF16sOYfGqQjvO3yqXw5C4+sMvJZDdmuGrW8Dr+2YJjIFeC/iIQWW1p+IukSow1URpCe39dZIhjSwrn3Dn85zgu84BFBVWQCpvhhSGymWqiERs7PFMxqPPu5Wjtwk8hMB0lC/fP9OooHzu3ed3vjky7spSMluGT6iwVZpM5ySjRiZEUOBVKcM0vPc+w5orfGABLobKcBsePb13H0U4YWt71vN6iXT8JKvOZaKnI3XPd3yIwepukgDzBlXyYxUxaTad1ry0rrynpqXjY/+t1kwTcgOdxahVcnA5JWdREhTFVMqRioZNwsRySL6X8upeGmwflEqnr7a4lcObMcoRCYtIykhc/UaLxnct87Vl0DC7PX1+LR5a80wfsKukOZYhrMx04IeHMu0LUeA+Sgm8tntL8bu7cWncHIhQflp8O3EfXx3NAulpqtIQfYWUOqGbpEfApTH4RIA4zf9R2kdXX/5FnXGn75O837SvWHoqmWbK06/YxVV41IIN7WJPr5w9lPcvo9vI5+SwHFTNgEv3yhwjZhtwdpEM997Lerl++kTMBAg4ZJXJNqbX3zp7vOn887x14F13D81vE9HsacaxifVQUHr9N67uQ6DljP8cqNDwy6+GsSf74Kv7pUzuLjrXuO7u8fLXvfdhwuDPru5PL3wW+cjr37UvVYfhxc3g3v3+pRwM3R3fXN+cdNDyUXzy6fT6y9v3U/B4Oby2Di5OR1f9h4716g5uFS77y7unE83X5sXJ/VrjfT3BfeaTU/tnnxU4sfPT29v8E3z09VN98y9Gry7REH/pBkML/tHd17/aHJ9TWC7+XL+vvv23cfrozu/31Bv6m+vP98EHb9+ogd3ozfBzZfh6V2z5j91Ty+unE8X6uD0qvV28P76bfNKO4FCUk/4Bj24LWeMr5374NP5V09F3U/a9cSrHZvHvY4SvDl6+hDZ958/HT287yHjy805+qw2FU87Hn9WndF7Lcfle+3o3tfOQ1+7jryb7pOvdu89gnwoWCUVs0LNnnsVXHvdq1WKWb2x7r4e6ldOFXv1xzeOdVurex334t1l52HkPJ08PDx+PP7yxv1yH5zk9DAWU7LS7CdCW20eUdXmKWUeSNQqeVBlqn4VPMaEsPnb92n80d77y+MqGoCNckSoPC/Al1nweNpboIdaoARO1QgVXNUd36l6YehUbQXbiuoYtkudGtOdhDGkkkIecpubAXjaH99VzPmoUIaxcDNS8Jl8SNoB9Q7xPc6AcAWywpiNOIh9Whi/TdTjW+rVicIhbCiLXx/i0XjYX143jO1qXz1g75VctY3ndbXzWcsT49M6gm2wZbE3RnEQT9n+JdMHlE4kW5wkZkaWNrW3iKaW6RcYzqesLtPvjKmzi/VRKX6RhkuSOaQ2IIKjiEX+LLIF8f0i2aizbdX0gNcWtjk2V9t2UrYLNsuQiHjfR5YdmGpoeDahW2SbphG4ihEi1w9Vy3MM0zY83dF806c+GZ9KD2ZpoFupymEQRP0qUJZgddZNRwMRSe11YIGbjhBgz6EMJpnT6We2beyznNE2s6dQo91vm1mpmRcp287mBXTk6C3Ewz7YZzcy1LMNdZZMnZVeTut7U2sJM52ypMtcnIvW7Rkjtka+as1Yxnh5azFjfF5Z6zIpskyKLJMiy6TIMimyTIoskyLLpMgyKbJMiiyTIsukyDIpskyKLJMiy6TIMimyTIoskyLLpMh0PZdJkWVSZJkUWSZFlkmRZVJkmRRZJkWWSZFlUuSfHXNlUmSZFFkmRf71kiLls9mKIln0lSJZdNWx14hkuSQyC1O7uKZUTtyv8bDyHru3YwxB+dgDs/KLk/dHLysj7PaKYlkSQQMIM+KcDmyBN1UFOdTjhhxHqQzcCaCR3niIsugUsGWzM5PJ9yov+kKQSwh+NwpG5YECHcDZzG44wszhQLtNsJvE/ZcHlYu4hysE8kro9hMWywJOfA/7kMpGG3TZQKkVuEu4Z5d6E4f4Njezc3dgHFZ6cR9P+OfBF0jgp8AmbtcdRjzMB06ghi6zoBz2Pr1MCJ9g3sZenIx4fw8RQcEDPw2a3r8l65x2FgEWx92gMhiPeD/hMO5Vkh5MSs8d3kFCygvaN1n5fTKcJKnQNLYxfllxwdUK+WDBvdsfube4MMzHm8B52JglkIiOTdIzGVxq9k1eUks0dRVVjoVJgoOtCc4SjCtRKIHGQQbKmgVlb2Ec0SVMPRVQdE73Zlwj1FC4wDnSp3ZjmDUgAAYIgZ8SyAvmEOJGxmVhOsd67hWhX93b3C9C+tqRW0SMgiC9Cl4RNqy9jb0ipLcCp0jW6/bxOeQDu3Jtb4lPyZ/nYWSLLhFjSWNjuUvkH4V7o3/87VifE8/C/LE58c+h+8M1Cf8FsLulRC8GrRybU0R/uA3Vm7ui+qMjCcQpqm9uRfbmdyD7o5oE787IfjuE/mFkb4pkL6CGcuULLkVnaX6xG1yKEyJkn0pjIp6jIOX5y8Jtjnfm+j7emedbjLY5lh3f1F21Ba0X+73TXrePujle6PZej9a3w+cfRuv2nPAbqgJ/N1qH3pfF1xwjZWfETrraEbXXj2QIxagt6ojdgtxJd0WhW2m3m9F7vSYDvDOC3xKnfxjFI0UkeSHGibL3w3s8hCHPUDx3zC+gepc1ZdQ+yaLLJKV+WXDTMVJzouef3Irw1e8R4ATd7pLPk+52z+gbNRng3RH+djj94whfFQm/OcXrvyPhz+P2TYnw9d0S/s62sM0jGcqdcvzCTeyWHL9ZkwHeHeH/oNtYJO1jW1Mc/0TMAkuJ/uTwk0TwAYYKZFGfPe25j1Fv3GOWP071eTj+PD7fkshd2LmSj21F6jvbt7aOZAh3yuMLN65b8vhWTQZ4d6T+g25dkbR3fTPF40+ifgGpH58uIvWov4DU53H2NxKpC5tW8rGtSH1nu9Y3RzKEO+XqhfvWLbn6m5oM8O5I/QfduU6HbxcHeAix4xvFcptC5H4WZV4Qy13o1WMerimvHsK+4YSepfuqbQWqHoRm4Crgo/cU1dYC5FkB0j1bD2xs2YGleZZrIUVVPCsMfAxOhimv3tY9yl69ob+NV89Aa+WnZ56e3EsjeXqofplnzWU8YT9bWUVv0dC/CndW0U5hqvfTO8kA+zRxn724xMlz5k545ZupnHqCFgJBMmIZR4Px0CcTQuubVTpxDx9UbsDjRR1n1GHVI2jodCfgkIMOIUM7CmnW0si9w5V4DN6nnwgm9wnhkbeHo1tQq0Gf1pTKBLvDpPJCMxXWUUI9Z/qBavzfDJL/KeDF4lBqok3l7GQbH1FtdzYV0bVQk20qNTFvhoaVr8OJa8UWldqaWTPku8UuIgmdr5C6M1hpmCwTwDTVnywJ2vvGQNfnY9hcgwhWxK+5OSk05gNq7x5Qe3NAmzKgu0qfWmFZJWPfJzcAIJ7vsHpCVfjVNm9lAU30PTeCQOm9n8fdf/3cjf51LuUld2MXVn1Ia01yDgD3/7N3CYwVVeqEtf5nj/Ncl0VQQHABrTialwNJOcjBz6/IN+A7P3vkUz1MHYGgeOZEn/IzgforL2bsDik/ld6m/v/pD3r/Yh99RUa4bJJX0UkKYn3/8beabFkUmNp7QOFhT3aVrixFPvOcbjckuAyIgFCJdHDZ6AHfbi4quGQ5qLyJHyq9MZGo0BAkTBoEwjolzZJxj32EixZZstBJX0m8iO7YpiRerreQLs3dSRfRGduUWUpzC97XLGYpzc15n+iFnQZ0KzE4D9RtxOBRfc60bykGm99TDB415mN4C+kyD7+bS5ejpgzorqTLCsvqu0uXsy52E6kuzXIho5ZChguZpixkBJZxGhOGTl4+Z7V9NpEyHfeeIALjfuXbOIZXp3YsCThzf3IMhYuSVHSk8ueAlceLh9EtBYVJEW4tSio/qUiFrQ3fGEVJwTSArKI7JhBYPHATuikSPWJkRE0VHGeQmLwWE5rZ3Kjb+XgkriMGSEhg/nPLHYMquM3cfn8MiYA5t9wG4poMsaiFo23UcLXQ0cf63DD6pL4AVOc7gOpsDmpjPqg0O3vHoNI+NwS1KYO6s93NlutqfWmTWrmBJQjMet1djlb5e0XfmRAi0zeKBl1WvQYCvsfAbPucga8ml9iCnxJLuRT6frscVZ0TMtQIQ0xPIpkSQSKzx9k7HH46Rl5Gks4BFQDx8A5DsD3Z4MA80BkokgB1SQJoOWtlxSe2MW+R3natKRUGEcGHJE6gbsMJtGJOsKbSjIrDhyQMozXg7A/wcJKtlCxA4HdGel0eya4cKLsHWt3SYpMykkyhyjhHkLK1wRDfR/E4oWvr4PcwjqjanLCr5hiKCVeuAanL9NbEvQedlWmfcFpY5aGDGc8AR8SYl0UddYYYM4N5bj5JQLn9yTKYp4GznD75WkUzud2DpvjQDBX1wBLsHqCIphZ8PBGsK0JqzCTVn9OdAYOV9MmOKYP7+YcyWQGDKOJsYlBYU1Qam1uZVZbL380XmBgh1pT1m+Y2WmOzWL9pbqE1irFhM6CKWuP69ot5wK6pN0r6eKM+hxjWNbYU0cOa1pY16UMeR2M+2rfRgOchfQsNuNGUQd2ZBeY7rMDvat83NtR6v68VRJ0Xy4iMKjVJbO60/ZxaIASnbGZgB/uHhhTqoCUqeWpVB5QwuzoRIHBTPxDEx7qOYGRwZy//QhyGC+0gYhxlTTN35uHVdhZYJsZQQreiwqtto/BqhVFlrM8NQa3NQea2vFaCddeW7WZ9AYK1teBeFcVrhjLJ4DYWgKt/B3rQN6eHpgzqzkwhy1fXn0sQmFX7zygKCB7nRPdqyhxRsB43zkJvCrjxXGuF+T+VF5s4OjZAcnLwskAmiMHG9d3JhPruZIIYbFyXeUB9O5ZVL+YCa0dfSixLDDWu71Iu1L+nXGjVFyB5C8E7F8WbC95WYwGoW8iEuaBuLhNaTRnUXcmEFVZXKRNWkAl1bV4YPJcF7GyiYZTEQkD8PKsONRxxiTAjACDfI1XXoWwSdgPYJKRCo0hdF4Pj67oc46ZtYSeBvgqVn83tJGKU/BSo9e8Aan0bUGsyqAvWpLbWmtS3i0TStlyBLJc61U2YMz2rl08phm46CepmE/PSSmo+/l1Wna5MFVSnb2FhvJvF4CPBNrR2DD6LR5+KwddUVzUsxcGmriHTxxbyXBU7GFnIDa3QVX3FMzEyDUsNjSAwbcP2DEvzfd1XbFcBKp2Kwd+6x2d61N09oQXXi7rRiFbmvo/oiW1Z1WuGsTFm47NsZOiAIDK+bpyw1wI475EXHoayjlkB7n04c96nYfhVRKvpZc9U21bEx6r8WNdU6bEmPzYsU3qsy48tVZEeG/JjBOXFFBk4Baho4CYJUa2DhNUOHve7sX/HL3gB5Ta1sPShvicXhrTEHdRr43eAJNxuNGB1PdNj/17z7IZ2fg4vPxjQc0d+Z0/gD1AMiswAnMABlfPI/d5gTzyPGY7764977WQUD+l4nmlreqb9Rv3Sani2ZqGCfrPaiRv3rJPZMmd7TtM4tujWLgB47vmHK32HtG5HwSMl66Jvao6hzn5TLk+3kw/pulUwy3LGzE4+RGbemP4QLVGLu5jqU/CdNtPGSM+jAA5gbg/jeJTWH1T7D+eH+pdrKG0oXQpHW4rvpClEqmrohusbCJuhFli6ZyNHDzTfsXxP9zTH9M3Aci3G+HCa2MPP8IWzM6sJzo8/7bgw6WSQXXyPu/RXMpoI7R4T/A2WOi2wGLB3iUJGGQB7JSFD9pmIGD2yopXwOsDr+j5IBlf3sIqRTfiH5jqh7nq6Y2ANqRrWdD9Ufd0zFVoFERoR7kEa+QG2HcfUQkPFquoomoJN5CLDMH0r8KGJbruqDkG8cGxN3IuecMZc/C5hSfzYUpr+9CxqAr/lLIwvVEHw5Xfo4cZpXXi2PsTHqY6xsA+usGbXcEwtvNAhe0dac3omdwtRHhwnXJzQSzf4Ok5G1DTyeia1CyDpcZKbm+pFZB3cjsdwRvh7okSRDYK64FjcqB+NIhqlJnSj6bahsZqjw0xy7f08+Nfx6O/D5Ns4/m/Qvh4qQAP0DDV6FjnbVAyG8e0Qrvi2hM7Qwd/7XjL4759fDf71n+F/+vCX9HaYHWHOSv0FOIluiSoBXXZwd8CcyO74Fi/qunLV70Z34D9nJ8LDawSjvWQfXppkxzaB0xdOP4UcM7KHJ/uCQdWbVOH/FXGkFQ9PYl5skeWp5edJJ9A5mAMyrz19A465xgeVxj0eTkYdXg2x0sdsKHcUVcKRqHleHT8UNCQaZNYjnAfNvNTkHnwrTrhDg+i8YzJdFXIBfpJhRH7AjSQ79JUQIUjag0orjoNKd+zf0V6oE5zs9v4GE0CJsxcxxpWXS+XMgQj0eMyozx2PYk7PVJGDI53JMzIM3IYziQmu2enWjDjhMTujOaClV/lddnT9Rm1jAkEnP6n7Dk+yJ6wrqno8A5uC4Nb0vAWy5gd060AP8aCT6hGk3mVMA8Pm2ce5PiItSWAyESxA5KjIJoqQYtj0BOGM+7Qzvpr2mJ5OnelCqQ6THuFCS97C+cyI19sdDwKIyBKltUb1CfIaVZ2pagTnhdJR7fVoSYS0u+dsZEz8tAnHJhhq09Mb2Pnu94lLZCDNIhWuYcr77FAELnqEh4yLtdPzjv5Pk/4htz3WffbAVM26CWYsYE7AbPrBzMPnfNORr/PKBYO6AkIyFSeatEfQHd1xLMNUoQiywJn/LasrU0rFlOj/tUhWuN1bgttRpxdRPNy7wwiUAMAgMGiZ26XChAEpzDgQFccgP93+FoWBEVqK4QWqTcgFPYLFLeXBDMP49rFlsUPdx8MEp/fzA92Bd93TLUY6J1Hrqn+VtSAKCOgE0gHxPUJIrBo379J8ez/yL7/chp9r04/z9nuiNixot4YuabNTIiWZ9AaduD/JVvEovqPHx+PJ247X8qMP0dvjq6djdBq9dQ7g5mftfBD0ugq+6d4df42ji8tuL7gKzr/0um+ub4zr4+gh+qw6yO+fdt2bj9DB2w83X9C5Yjx81j4/uY04el97i3z1epI/v1Vu7k4HQX8wvLrxo/Djwfnbw7Ng+M38pF65t+5As+/ftcbhnXl4lDgnxx9u3n09OfOi6nnjAsTdzDAoE9rrjEaD5PWrV+5gcNCbwHbNJcoeHEb/Km3xiohqQgcZv9zL6XvlU+jpmebpWpidaVYVm516Tsts+08nnfoIPVDVdRzAbjl/CiWxa5Pxl6ye9rxy2lC+e171bniW300r4ksK0fQugfMNaS3OrF8HWZYmn8auk1WtGBayVfE09rlrkms4fieOKF+VuRxw/SyFHQw+YFeJfMJ1J2zLnZ5btUdPmYEXsiPnlfV094+T69GNkenu/FLW3bN3uO5uEBT4qmorgW16RIPFnoGR6toq0nxd97Gl6q6O1Dm6O/djkJnZjd4+R1l3ELZDzcCmbgUeVB3XLDV0sKEgTzVtz9YVU0Mo3ZEwZd1xFccODeR5nmVhywvJ0FSsObaJiZx0TNfUFBsZlNMVqOZEvOBh3+0SpkQ3ZnuiXkxYEtFEc9U+m/ln2br3zBUYwTa1J53yR3d7ROz88/V/+hXyJ4ij0esKwMCuqVLFbgi6vKpIQoPIAlzE6kPkmcjBiuvqwOqBYtIt14iMGFj/N49DMCVduRDhY+CtMK7ShrAYB93Yhc9ckm/DK2lIaDqRg7FH8NnBmYZE+u1E98J1n2i6brZ0YfsL7O0jX897+1NSr2BvLi1vLluLljdoRIXL21B+qOV9rp357yf51pxdTm3N03d+oOVtmT4OMVkS2Lc9spFGpuUbNvLswLVRoKheoJGFi7C0vFWi6mq2YpmGQ96zDBUZWPVUsj1XbcdCrqWFVuC4zorL+zTu4x0vcV78ZbMlrq++xDVV8Txf/YstcbYDmFriFPCiJe44c5a4qf1YS9wy3X4uwfnl1BJP3/mBljh2QiKlHU3Tg0A3Az/0TMfxPcd3fNsPkI0V0/Fd7EtLPCAi3zERWeHI1rCrO15IhhJi3XYtk6zzAPiGFwZ/kARnfqXvvrx117B00Fl++OX9PLfNhbhX6faSfA9g340ePuGLrx8pMxU7nLYWPK+yZZm38aDL+zFrlW92F2101t+t3BL89dMjjk6ju2gE6mfo9qLuJL3dcrtdfBvDHMHJ8oCePn3zlj/431u4DTs+2IyTLXBvMBIiBKaOIJJ8mvRsLR2Zgt4j7a/pCXOObqkz+2vmr0JAt6IlN72NpixTpSty967IH8RZYDsHxpbegmd6bupCMwJHXMJMrZltk9+Ek9FHYONjuHvOcVGaBUqzQGkW+EuZBci85g4V9xZTFzmElBW5DZLUgf6tiAt8S5/C6kv7IRxm5ny+qtiwmhmgTc2EFVF0nN93sqbmitPMFxfoUTs2ws7RnmjMyWAQD0f57PKIjqIKoepKFULZWYcrVwhNE7d4UBqIJOaiHJKvgPszIIrKBGoT46JT/7JT4qYP+nMrIX7InJlk1SUu98lmMavMhzs5qJwKh/vRAqLwMfKdx7S6DZjehT7SMwJTd3AYEcUPnK6FR9uJ7tpRCv+SoqQXFIJLsXZ5LeZOJRjadMClMRsdODMIjtVsEIZlH1SOyIuQnw2e97zCKkG4nNcgtsvrQ7NMF4OhR/rkkKdq8xT6ShJLh/qlzuohJvQaZDl2Q9Cn+7TiqzBhy47GI4PfVbI/6Wq7YsmFRU9Jr1IJiNWhK5jngrjaWdRvDnZNAjvLgvhJgHndYGABZt5fBepGedQjLSXQxHx9bDIIsXhnfS7uje+B+9nFsS7+hRjivqqGYo1ta0lja3k8b+pB/FvdmFPBMmM3hH/B0Zoi1xlMREZLo1HoopXw8lBwbkgxA1prmR9Jy/x1HVk5wwfmS6QkhOCsTZw07IcdRci7TVk540jrkt6C+UOr062w9i4FkqLHMa4mBxoFckA6rev3lAFT7xA6YVKAMn+KZ1kmzIF8faoRC8c1diccGjsTDmLJuMbOGFSjkEHRHrc/S08Gs75zMOtrg7lgzZlLGptr8MyGMace1swS3YB3Nubxzk1Jvy6R/uvGcoa52uwJDJN3uw3DXDh56uoEKqQUtmBfPc0qVzvO8JY2zTEOR0fPbBqyGUP2skPeGmhnx3g2dnciili+pyGfiMJmdIsVXXwiStbt9ge8NRafiLJWFub2OF1AvPqSxvo6nGf6CJT0yZRFaYOMK6FeU4b5gowrMA/FhEKS9hAzKwFEobLYTAU1dAeoXkgCSfsmPzNYyW/C28kga8Y/az/B3qfBL/+L8vwGvL/3C1knLxjBvKRW69SBB13NZqPB7RpSoOHZyeWLmvUKqfs1e79m7u9DujyUxCPPoCrkixoZWQ055K/9kpVkrakaPGVFBMlzdR/OztuH+g9Zj5pGu9R08ldlndbzx3X2uE4e17PHOoWnrtlVlpPZ5ABev2hS+Jr2fpPD12TwNckj5NBnBMgmsvf3lXz4EJ5Axll88A2413SKRzgX+wU/UBtMyGZ291C8nWOZnslF7zEA4SY7vYjdpKDxM/qkt3XxgdiCfvLk8JP0Nv3gyfFp9ia1BTJqpDG4OSXm3tp03OBeGPd67pA6p8BQ0k7jlRG1od7iNg5o4Lmuc0tKO+kQWUp3REzMtWkOZebSameeIIem8YPFKL9HKCR1TwRp13APfrY9THgebmcmf2ROv9ymVj6+aujXoHvwD7Xvo7ibGky54bmH3T7EAcf9ICGdjx4waSCNSjWfmTGvndoqRXse4WhRkNlUxbWGHweEo2WPMiCjPq09MHa76Rf+vcfWX7oIwd8xxJC+kbVO0UCD37+Ngatn6znFBV/P8Gq2mukFwN+HX8BdwJW2Cgik0Zzlvs7AgDWw9cdYAVvybNmxZc5WM1u0CwZuygNnLCcfOWMzfOiMq6QXlFfwi7p0QdkEv2AsIr3Ie1sJd+uOknQ6l5esg91jnbEZylQYF2Fsg/EIxhAYB1iAWltGbUvPEUEZW45lytGES1t4U8Qf41zZhdghMsWL9UiUDre1zpif06U7z0gvsyeiRA6IGgJOxDbzomW2dFUxLNGH0J51XFBPLHVPzHMXpGhu95ijSZDSVL4CGNS+Au+CBV1UNchQVOGlxryXdPElytRn35LFuvhtRspZiwIOQNoioUFzlQYi4GyBLGmgSQ205Q3EUTdX+YIhfoGuzSUNTHGGVmlgiQ30pViSdQ1xTijdp22LGcfUpBybq7QQZ+XYXqWFOC3H0sTPbaJLTdRVmhhSk5UGb0pNVhq9JTVZYfgwQ1SfGMW3mGxLh9zryrSodPKqfGFVc6VqrvIAvUFSIOU8rOuM69D4IkuDHPIOdocjD7vcoAIpTVDugXVpKCj0TDWoGrqtVXUbh1XXcI0q9n3LD1XVMD0I7M10IL6POyK/6QTSvLXsC1mokoIsBxF9LoaBZhoUjy+SxoyQsWyM0rBMBdmmo8vDMpbw6Qx8NmZNsbBn2lVfpWNGatXxPL2qe4FrISOEExn3ljLjWV5+5bX0d45/djkHYc5cfFm67RimKjTLtsFwB9RRGgG1HeYMVbEUJGNO+ytgDhlFmMvj6kC0Zsp7uv9QWCAQ2DhGbY4D9gBQPYM9h6wFBRziIvbQ77Sc2LcL4NIR+WOSeZiCS98RYBn/qkA+28FjN3mcAyVRcxTdtPRiKA1NsxTF/D7YWwtIBghQxBp079mWYTtYq4ae5ld13VOqnqu6VTtAlmWHSuj42kZ0L4SPLlr6izVHUM1ZXF9AlNGw61KRQPcJs3V2WFTHVJ0dHweGbVqO42qKo/iqCyFegRPaCBt+YFoeChHGYRhqvq355B/fsxyIwnQdn+CBhgnKdXa27hFmSIzDTKMqWaxVFlHJLlMrGrtiRmP2m0dRZkVmRo+H41GHhuNiik+KzmAyNgY9zzCMp3AURwqKkeJ1kycDW3jUHUOI2gAO206T4lkwzDgKzljm/5BFnkGW/iT9MuSpExQTNYBOALvJonryeEAptkeYK8KoCW+zdN2UAyPJJCqWQZ7rdh4YSSm965JV0JHe0RxYBXA7s7loLIirywPqBpEPRf3ZRQI17ukezh8no7gHkPLYIDhpPGm7vo8HFELI/Of18oVxvA9r4D9YIZZ6zejsBfFV5BHglOOzo3+pRfdPdx+heFcEEMMZJhnRkI0wzIjbpVtlmoyd8ADRPBSrnYAW92+ZIfw6N17uCmaUdNCOB0IEsPhqto1MxyBPf7aXLJh+UAkKp98Uph+mBUKAsxBwmrA/itvJAGMgiZT4qU/4fvoTNn3A4BYi537b88ZRF+BMaJwTTGwffrSnu2fI5Q8H7jgRiiik+fPxsKDH56wSxOwDWEq4qFH2JcLnko7v0jBWAOFZrCFF1Mw0IgIK9HRigAqaBpRV7InZ3dEBb4bvIc4X3qdJ3tLdV/do6gbw3CEtFiQRGemPRUrv2ckkDrzq5O0orFdD58gzNfvqfHAFC4D1AWSW10Fo3LPqt/md4xHupXdbEJ6XXpzgIHLTi+sIP6S/LxhTY5e/PlNLyH0c+bx6RI9sPOJgT6h19Ly/JvuIh7duPzMD7Z1MGjwxvnIB8a8sSJmOjMdT7gmOj4urimpUqtXK8UUFIQV+vRmP/A7dxTyvEC05yzWhSEjHDeKHPBh4zjIXAZK4OWUAC3gM64GHJ0vdLOAJNdaZGI4q5NIEPddK+lOs4Ml2m4dOESuwidYipNfNlBJBi0qJQA+GjXRdE8pvtPCIntt+wZNSWEogBc1SdRYumoH28fFNy9bfo1nQiICyTcPYAjSi8yHHsATQaqxCaT+o3KShoEnljBfyEQG9bpmaKgF6odqfHzzPmgXUMByk2c7mgFoO0cNtx36W3XguQ2MO88VceLHmHBqnIrzv8Kl+OQiNrzPwWg7ZrRn/r70v0W7cRhb9FY1f7kxnruUmuDM3L/e1tbjlLd2WLdmezNHhAkq0FqpFSbY8x//+UAAXQKJkbZ1M5ihnkrG4gIVCoapQq6nuAq9p6TrSOXjr4YgCS+tPBD0i1OFXHqRX7fLZWITUMxqu5s7nOcF3LAKoLK2AVF0NqYkkQ1YQj9nF4hmVFxf3Cqd2FLgRB6mv3l5eCDRw073o9CdXjxdzkJLTMnxEgaPSdjglBzGyIpoEqU4ppDeZ9x3QWooDEuhpJAez/penG/uFhxeOvueK0Y/m4SVfswwZWVvve3rkRxaSVZ4GmDOukBqp8kl1YJ2JW+vOea3eVr663xbB1CE73FqFVikFM67sxEOaqJhCMVLBuJmLSBbR/5OYipcE6+el4qnrbX7pxLS0XGTSMpICMtev8ZLC3bbuHj0Bs43G5LraNhYYP2FXSLEMzdqaacEIlqGbhsXBfBoS+WwPVmO3Xb/3Z3UByvvhtyv75eJ0EUpFlZGEzB2gVDXVIH9wUNb8dwAMPw9ehH3UePwWdCb3T/O8nwyvaapsmPqay28ZedW4JMJNTaKPr1z9BLeXYTtwKQnUqqIJ+P2DQqwRsyNYi2jmRz/xevlxcgcMBIj7GVckOlpefKn7cH/TqT0NjdrgWnPuT0NH1rR72ULe2fXUaTZ878waPTZVeLGH74bhQ9d7su+sYb3ba+Bu9+W237v4ta7Re83b67p7djN2yqe9hvwyqjeHU7txTbgZ6jaaN/VmH0X16uP9dePx3L73hs3bmnbVvJ7c9l86DVQd3sq9i3rXum8+VetX5YZCxnvE/WrVkXtXX6Xw5eH1vImb1fu7Zu+LfTe8uEXe4KrqjW4Hp11ncDprNAhszceby975xdfGadcdVORm+bzx0PQ6bvlK9brjz17zcXTdrZbc1951/c66r8vD67uz8+Fl47x6p1xBIalX3ETP9pk1wQ1r6t3fPDky6t0rjZlTqum1fkfyPp++/hqY04f70+fLPtIemzfoQa5KjlKbPMjW+FLJcHmpnE5d5cZ3lUbgNHuvrtybOgT5ULBKKGaFqn37zms4vbt1ill9NrpPn9Q7q4id8stny2iXyk7Hrl/cdp7H1uvV8/PL19rjZ/tx6l1l9DDhU7KS7CdCW604oqoVp5Q5IFGL5EaRqfpF8BgTwo6fnibxR0eXt7UiGoKNckyoPCvAl1rw4rQ3T/UVT/KsouZLuKharlV0fN8qmhI2JdnSTJs6NeYH8UNIJYU85FZsBojT/uJTxZKPcmUYcw8jOZ/JpqScUO9QfMYZEq5AdhizEXuhSwvjt4h63KZencAfwYEy//ERHk9Gg/frhrFT7cdn7HwUq7bFeV2tbNWyxPikjmALbFnsiXHohXO2f8H0AaUTyREnCpmRpUXtLbypZf4BhvM5q8v8MxPq7GJjFPIfpOGSZA2pDYjgKGCRP6tsQfF5kRzU2bFqfsIbC9sMm+sdOynbBZulT0S86yLD9HTZ1xyT0C0ydV3zbEnzke36suFYmm5qjmopru5Sn4xLpQezNNCjVOGT5wWDIlAWszoD0SuGQRPmPWqvAwtcZh7n70MZTLKmC/ck45jljLaYPYUa7f61nZWaeZHS42xWQEeM3kJx2Af77FaGenagTpOp09LLSX1vai1hplOWdJmJc966vWDEVshXjQXLGE0LlVQ+Y3xZWetDUuQhKfKQFHlIijwkRR6SIg9JkYekyENS5CEp8pAUeUiKPCRFHpIiD0mRh6TIQ1LkISnykBR5SIpM9vMhKfKQFHlIijwkRR6SIg9JkYekyENS5CEp8pAU+e+OuUNS5CEp8pAU+Z+XFCn2ZsuLZFHXimRRZcvcIJLllsgsTO3iilS4sp/CUeES2+0JhqB87IBZ+cPV5emPhTG2+3mxLBGnAfgpcc4HtsCTsoQs6nFDliUVhvYM0EgvPAdpdArYslnPZPK9wocBF+Tig9+NglF4pkB70JvZ9seYORzosBG2o3Dw40mhHvZxgUBe8O1BxGJZwInvYBdS2egLPTZRagXuEe7Zo97EEW5nZvbYHRj6hX44wLP48+ALJPBTYCO7Z4+COMwHOlDDkGlQDnue/owIn2Dexn4YjePxngOCgue4GzS93ib7nA4WABYnPa8wnIzjcfxR2C9EfViUvj3qQkLKBzo22fkDMp0oKtA0tgn+sWCDqxXywbypPRjbbZwb5uPMoB82ZgkkvGOTjEwml5h9ox+pJZq6igo1bpGgsTXBWYRxIfAF0GKQgbIWQTlaGUd0C0tPBRRd06MF1wg1FK5wjgyo3RhWDQiAAULgpwTygTmEYiPje2E6NTXzitCvHm3vFyFj7cktwkdBkFE5rwib1tHWXhEyWo5TJB119/gc8oF9ubZ3xKfgz3MwMnmXiPbOy9r7LpG/5Z6N/vaXmroknoX5YzPiX0L3nzYk/A/A7t4lej5opabPEf2nXahe3xfVn54KIM5RfXUnste/A9mflgR490b2uyH0DyN7nSd7DjWUK9djKbpI86vd4EKcECH7RBoT8Rx4Cc9/L9ymtjfXd21vnm8+2qYmOr6pu2oHWs/3eyej7h51U1vp9t6M1nfD5x9G6+aS8BuqAn83WofR34uvqSFpb8ROhtoTtZdPRQj5qC3qiN2B3MlweaFbybDb0Xu5JAK8N4LfEad/GMUjiSd5LsaJsvdPUzyCKS9QfOyYX0H1NnuVUfssjS4TlPr3gptqSM6IPv7kToQvf48AJxh2n3yeDLd/Rl8piQDvj/B3w+kfR/gyT/jVOV7/HQl/GbevCoSv7pfw93aErZ6KUO6V4+ceYnfk+NWSCPD+CP9PeoxFwjn2bI7jX/FZYAnRX326Fwjew1CBLBiwu337JehP+szyF1N9Fo6/jM+fCeTOnVzJx3Yi9b2dW89ORQj3yuNzD6478vizkgjw/kj9T3p0RcLZ9fMcj78KBjmkXrteRerBYAWpL+PsnwVS5w6t5GM7kfreTq2fT0UI98rVc8+tO3L1zyUR4P2R+p/05Dofvp0f4MHFjm8Vy61zkftplHlOLHeuV495uOa8egi7muU7hurKpuHJqufrni2Bj96RZFPxkGN4SHVM1TOxYXqG4hi2gSRZcgzfczE4Gea8ejuPKHr1Ru4uXj0NbZSfnnp6Mi+N4Omh+mWWNZfyhON0Z+U9RUP/CrGzig4KS32cXImG2KWJ++zBd5w8X+xZXPlmLqeeoIVAEI1ZxtFwMnLJgtD6ZoVO2McnhSZ4vKjjjDqs+gQNnd4MHHIwIGRoBz7NWhrbXVwIJ+B9+oFg8pgQHnl6NG6DWg36tCIVZtgeRYUPii6xgSLqOVNPZO2/Ukj+N4cX81Mp8TaVL1e7+IhK+7Op8K6FkmhTKfF5MzSsfBNOXMq3qJQ2zJoh3813EQno/IjkvcFKw2SZAKap/mRL0NG3Brq8HMP6BkSwJn717UmhshxQc/+AmtsDWhUB3Vf61BrbKpq4LrkAAMX5DusnVPlPpt4WBTTR9+wAAqWPfp70fvm5F/xyI+Ql90Ibdr1Pa03GHACu/3Z0C4wVFcqEtf52FPNcm0VQQHABrTialQNJOMjJzx/JN+A7PzvkU31MHYGgeGZEn/AzjvoLHxbsDgk/FZ6m/v/5Dzq/sI9+JDN8b5HX0UlyYn3/9peSaFnkmNoloPBTX3SVri1FHuKcbtsnuPSIgJCJdLDZ7AHfdiYqYslyUvgcPhf6EyJR4UWQMEkQCBuUvBZN+uwjsWgRJQtd9LXEC++OrQripbGDdKnuT7rwztiqyFKqO/C+aj5LqW7P+3gv7DygO4nBZaDuIgZPy0uWfUcxWP2eYvC0shzDO0iXZfjdXrqcVkVA9yVd1thW3126fOlhOxLq0rwvZOSDkImFTFUUMhzLuA4JQycP37DaPttImY49JYjAeFD4Ngnh0bkTSwTO3B8sTYpFSSI6EvlzwsrjhaOgTUFhUiS2FkWFH2Qkw9EmPhgFUc4ygKyiJyYQWHHgJgyTJ3r4yIiSzDnOIDF5Iya0cLiRd/PxCFyHD5AQwPz7jicGmXOb2YPBBBIBM265C8QlEWJeC0e7qOFyrqOPjbll9El5BajWdwDV2h7UynJQaXb2nkGlY24JalUEdW+nmx331ebSJrFyA0vgmPWmpxyl8NeCujchRJZvHAx7rHoNBHxPgNkOYga+nlxiG35OLGVS6PudcmR5SchQxfcx7UQyJ4J4Zo/TZ2L46RzjMpJ0DagACEddDMH25IAD60BXIE8ClAUJoGSslRWf2MW8RUbbt6aUG0QEHxI4gbwLJ1DyOcGGSjPKDx8SMIw2gHMwxKNZulPSAIHfGellcSb7cqDsH2h5R4tNwkhShSrlHF7C1oYjPA3CSUT31snvYRyRlSVhV9UJFBMuNACp7+mtkT0FnZVpn9AtrPDcwYxngCNiEpdFHXdGGDODeWY+iUC5/cHQmKchZjkD8rWCosd2D5riQzNU5BODs3uAIppY8PGMs65wqTGzRH9OTgYMVjIma1MG17MPpbICJpHH2figsCqvNFZ3Mqu8L3+332B8hFhV1G+qu2iN1Xz9prqD1sjHhi2AymuNm9svlgG7od4o6OOV8hJi2NTYkkcPG1pbNqQPcR6V5WjfRQNehvQdNOBKVQR1bxaY77ADv6t9X9tS6/2+VhB5WSwj0orUJLG90/YhsUBwTtnUwA72DwVJ1EFLVPLEqg4oYXZ1IkDgonrCiY9NHcFIi5298RdC319pB+HjKEuKvjcPr7K3wDI+hhKG5RVeZReFV8mNKmNjbglqaQkyd+W1Aqz7tmxXyysQrGwE97oo3jCUSQS3sgJc9TvQg7o9PVRFUPdmCnl/d/17CQK9aP47igKCxyXRvYq0RBRsxo3T0JscbrzUWqH/b+HDNo6OLZAcnfyYIxP4YOPy/mRCeX8ygQ82Los8oLwbyyrnc4GNoy8FlsWHGpf3KRfK31MunJVXIHkHwbsUxdsL3rPKClB3kAlLQd1eJpxVRVD3JRPW2F0HmbCGTCgry8LgY1nAehONgijkAuKXWXWo4SiWCAsCAPI9EnUdyiZh24NDQiI08tR1Pji+rIoxbsoOdhIYK1f52d5OwkfJz4Fa/g6glncBtSSCumJPKhvtSXW3SCRlxx3IcqkT3YQ509N6+ZRi6KGToG4xMS+ppObi32XXqdJcQXX6FObmu10MPuJsQxvH4LN49LkYfEW2Zc2QLKyrCtJdbCDHlrGFkYFs3/Bt2ZUcHSNdM2Rf8zzd1ExHMxTXVV3JtCWg0rkY/J1HfKOt7qaEFmwn6AVjWpl7GtCObWnVa4axCWbzM0ykqYAgMr9eGLHHPOj3GBcehrKOaQHuY+g579Iw/CKi1fTSezJt/ZfdlsXbqiILtxXxtmbowm1VvG3IknBbE28jKC8micBJQEVDO4qIau1FrHbwZNAL3W78Iy6g3KIWlgHU94yFIS1xB/Xa4itAEnYvGLK6nknbv5/i7IZW1oc3bgzo2GO3c8TxBygGRVYAOnBA5TxyvT884vsxmwZhO5N+KxqHIzqfN/o27Wm/1bi0Gp6pGChn3LR2YpxYkWRfsF9Luw2uBQZ5uxV4L5SIckBSFUuTF0ESi8Ht5UOqauTgVMxP2cuHCJ61+Q/RgrC4h6n2At9pMd2HjDz2oN1xaxSG46Tanzx4vvmkPjagkKDwk2skyT+TJOzIsqZqtqshrPuKZ6iOiSzVU1zLcB3VUSzd1T3DNhibwcn6xh1zoVNlMcJZs9GODYtOJtnDU9yjf0XjGffeS4S/wcai5Qw99ixRf+h2Y49EZMouY8jjF1YiEh4HeG3XBT5sqw6WMTLJblVsy1dtR7U0rCBZwYrq+rKrOrpEaw7CS2SvkpdcD5uWpSu+JmNZtiRFwjqykabpruG58Ipq2rIKIbPQJCbsB6843cpujzCAuEkoTTZ64+XuvzKGEW8LTsxkV2gr4aQKO9sf/O1Eoq8cI1YP09/QFBYe6JCTGq3wvJAphSjHC6OYedOftvc0icbUEPHTQiIVQNKPSW5pYhWRLHA5nEBH7kuishB1XF7RhDYYBOOAxoRxwyiqqSmswucolRNHPw9/qY3/Ooq+TcL/AV3nuQA0QDuW0c7fTIUfjsL2CH7FhwC6Qid/HTjR8H9+/jj85bfRbwP4l4z2KW0YzgrreTgK2kRww5Ad3Bsyl609aeNVQxfuBr2gC95q1n8dHiMY7UfH8NAsbZIELlboNQoZXeTETLTwYdGZFeH/C/xMCw6ehXFpQ5YVlnVvjmBwOHynPnL6BDSVxieFyhSPZuNOXHuwMMBsKl2KKq4BaZbFFrfg9Im+lo4I3ZeZT5hcg2+FUew+IBrmhCxXgfwAr8QoIH/AhShtsUqIEOTaSeEsDL1Cb+J26SjU5UzOVn+BBaDE2Q8Y48qKk8bMgYjPcMKoz56Mw5ieqdoEDZTJPTIN3IIOwATXrJc0I064zToie7TQaXyVNYrf6t2QQNDJ+mJ38Sy9w4aigv4N2BSEkibdDcieH1JFnbbMoIvqEKR2U6aB4ajq4kz6C1sSmEwAGxBZMjKJ2iFppgECPOU+rZSvJiMmvaBTzSPRGJKGKbTALHRDRnF128nQg/gnbucaCpXe5DGqqFJFBLpz0lkd9WkBgmS4t3RmTPy0CMcmGGrRXgmsm/o0sokMpDmb3G9Y8gFrQRCLHu4m42KtpLvQ/6nSf8hlhw2f3tBlvayD0QiYEzCbgbdw8y1T8bN9XqgzqAsgJBNxoggauWqplmVougwlhznO/A9RXZlTKuZE/z/zZIXdaxPcjjv9gOJhSo72oAQABoFBi9wuESYMSG7FgahiDMa95NvI9zTfkDTHk01CLugF7FsJD2YYxu2XM4O1UJ+MIpxcz9qnA++aUoU+WZPg7G5wl75BFBDQCYR27H1CSKz2dTykfj4du7ePbf+hNH87e5/WJCYzaDHtFjRoJmPIQSBRkKg2zvpNkR3Jl2CG3tX0tJqqr5w6qqmC+jknlaJZf9gJB7OUEYzDLu33jmfnHefMDX4Nzmt3rzV0HZxbJ3DxQbkZev2ehJu9bu0pDOq3vb5359089nufG02tUQuegwfZQu7gumc3v8IA5782H9GNpD0/KA+vdiUMLkvnyJUbs+x+W2p2r4feYDi6a7qB//Xk5vzTF2/0Tb+X7+y2PVTM6cXZxO/qn04j66r2a/Pi6eqLExRvKnWQmAvToHzsqDMeD6OfPn60h8OT/gzOVzbRF6F7/MfkjY9E2hNSSlnuUbZF1m4bT5uQJ9tpkVhYGWvWppzWxXZfrzrlMXqm2i9tXc/dhRrWpdnkMS2Avaz+NdTbXlZuG+5lV5MS9oJONX/QiFmPsJ0XWICFDEMR26erhDFImoFMmW+fvnRbx0qS2wkDyppFRgmCI805BwsNGEIClzDuGTsjJ42mjmhbGHgg7REvbab+f501xk0tVf/jn6L6nz4Tq/8aQYEry6bkmbpDlGDsaBjJtikjxVVVFxuyaqtIXqL+x44HsjL7Uf2X6PsWwqavaFhXDc+BMuGKIfsW1iTkyLrpmKqkKwglhxqm71u2ZJm+hhzHMQxsOD6ZmowVy9QxEbWWbuuKZCKNMssc7Z5IKHKat3uEr9Gz3RGvWhOWRJTZ7HSQrvybaI57i3Ugzph0JLTlowdGIrn+/tNvgwL5xwuD8U8FgIH9pnoZu8AdB2RJkDtEnOA8aeEjR0cWlmxbBWkBFJOc2sZkxiA9vjkxBHMCOpZD8RzitzAu0hdhMw57oQ2fuSXfhkeSGM5kIYcTh+Czw9kDRm4nmPL2AaIs2+nWhRM0sLev8X4+Op4TnDnHe2F7x+I5b3uDUpW7vTXpT7W9b5Qv7uUsO92zn3On++SZP9H2NnQX+5hsCeyaDjmLI91wNRM5pmebyJNkx1PIxkVY2N4y0ZYVUzJ0zSLPGZqMNCw7Mjnhy6ZlINtQfMOzbGvN7X0dDvCet3hcrWW7La6uv8UVWXIcV/4P2+LsEDG3xSngeVvcspZscV35c21xQ7cHmQSPf85t8eSZP9EWx5ZPpLSlKKrnqbrn+o5uWa5juZZruh4ysaRbro1dYYt7RORbOiI7HJkKtlXL8clUfKyatqGTfe4B33B87w+S4MwR9N23t2prhgo6y59+e78tfafOn1V6/Sg7A5jd8fM9rj99pcyUH3De4PC2zpFl2cGDbu+X9K3svLzqoLP5aaVN8DdIehJdB91gDOqnb/eD3iy5fGb3ergdwhpBK3hAz4A+2Y5v/L82XIYTH5znyRG4PxxzLv25nkGCE5I2w1KRzuk9wvmatoSzVENeOF8zBxMCuuWNwcllNGfcOvgO9+87/JP4G0zrRNvR4fDGDD+rzAgx4iJmrU3No/FFaGU+BjMhw91bhouDWeBgFjiYBf6jzAJkXTOfjN3G1MsOMWB5noco8cF/y+MC35K7sPuScQiHWWioV+RfLBIZJluaqRiarsL65fXf+07W1ExxWvjiCj1qz0bYJdoTDRIZgnF/ISgkr6SnvFZJT9accO2SnkmmVRxFBiKJeTlH5CvgQfWIojKDYsI4r01f2tZtvjOfXfDxc+oPJbsusmO3bhpkytzAs5PCNdeNj1b8hI+R77wk5WjA9M6NkTT1SzzKfkAUP/Db5vai4z2+4wT+d6qI1ikEt3yx8VIY+6VgavMRktpiON/CJGKsppPQDPOkcEoehIRqcN5nJVEJwsVEBP69rKAzS03RGHqET47i3Oo4570QhUIXvsTfPcKEXr00KW4E+vSAlmjlFuy9XnZk8vvKzidD7VbdOLdKKRlVqNmwPnQ565wTCLuI+u3BLglgp2kLP3Awbxq9y8Ecj1eAQk8OdWoLGS9hvD+2mQRfbbO8FPfa98D94ubYFP9c0O9Aln2+KLbxzsvG+wG4iQfxL2VtScnJlN0Q/gW9MHmuM5zxjJYGtNBNK+DlOafRRz4D2mibnwrb/KcyMjKGD8yXSEmI4tmYOGnkEOsdGA+bsHLGkTYlvRXrh9anW27v3XIkRfsnricHKjlyQGiv9XvKgLlnCJ0wKUCZP8WzKBOWQL451fCV3ir7Ew6VvQkHvsZbZW8MqpLLoOiIuze/E8Es7x3M8sZgrthz+jsv6xvwzIq2pIDVwhbdgndWlvHObUm/LJD+T5X3GeZ6q8cxzHjYXRjmysWT1ydQLgfwDM7V86xyvf6DbfpqhnHo9bxwaEhXDJnvdWWroL313azsr4UJX2+nIrYwYSu6w47Ob2GSDrt7R7bK6hYmG6VN7o7TFcSrvvOyugnnme9ZktyZsyhtkSLFFVhKMZ+TIgXmoZBQSNRiIYAskJWFd0qoolpA9VweSTI2+TOFlfxNeDuZZEn7e+kHOPtU4p//TXl+BZ4/+r9kn3xgBPMjtVonDjwYajF9DC6XkAQvfrm6/VAyPiL5uGQel/TjY8hvhxp25B6UcfxQIjMrIYv8a/7IaqiWZAXusqp/5L58DM3ujqFgQzqiotAhFZX8K7NBy9ntMrtdJrfL6W2VwlNWzCJLoqzGADY+VCl8VfO4GsNXZfBVyS1k0XsEyCoyj4+lbPoQnkDmmd+pBtxrKsUjNLL+EHfABhOynl79xF/OsEybaNFrDEC4yNoNsYsUtLipnvC0yt/g36CfvPp0LzxNP3hVu06fpLZARo00jDejxMxbm8wb3AuTft8eUecUGEpaScgzojbUNm5hj8auq2psSWlFHSJL6YmIibkWTXpMXVqt1BNk0bx7sBhl1wiFJO4JLxkarsGfLQcTnodbqckf6fMPt6iVL9419GswPPiHWtMg7CUG09jw3Mf2AEKJw4EXkcHHz5i8IMxK1t+YMa+V2Cp5ex7haIGX2lT5vYZfhoSjpbdSIIMBLRYwsXvJF/5xxPZfsgnB3zHCkAGSvp2ggcbPf5sAV0/3c4KLeD/Do+lupj8A/gH8BdwFXGnrgEBeWrLdN5kYsAa2/xgrYFuebTu2zdluZpt2xcR1ceKM5WQzZ2wmnjrjKskPyiviH2XhB2UT8Q/GIpIf2Whr4W7TWZJBl/KSTbBbUxmboUyFcRHGNhiPYAyBcYAVqDVF1J6pGSIoY8uwTDka99PknuTxxzhX+oMfEOn8j81IlE73bJM5vyVbd5mRXmRPRIkcEjUEnIgt5kVLbemypBm8D6G16LignljqnljmLkjQ3OozRxMnpal8BTCofQWeBQs6r2qQqcjcQ5VlD6n8Q5SpLz4linX+24yU0zdyOAB5F3EvVNd5gQecbZB3XlCEF5T3X+BnXV3nCxr/Bbo333lB51donRcM/gX1XSyJuga/JpTuk3fzGcfcotT0dd7gV6VmrvMGvyw1YeGXvqIKr8jrvKIJr6w1eV14Za3ZG8Ira0wfVojqE+OwjcmxdBR7XZkWlSxeMd5YxUypWqo8wGiQV0g5Dxs65To0vshQdCL4OtgejR1sxwYVyIqC+gxsSE1CvqPLXlFTTaWomtgv2pqtFbHrGq4vy5ruQGBvqgPF57hT8jddQJr6ln4hDVWSkGEhos+FMNFUg4rji4Q5I6S9N0dhWrqETN1SxWlp7/DpFHw2Z0UysKObRVemc0Zy0XIctag6nm0gzYcWikfvMuNFXn7nnKkXlvvldgnCrKX4MlTT0nSZey09BsMVUEdpBNRumNNkyZCQiDnlPwFzSMvDXBZXB6I1Vd6T84fEAoHAxjFuxThgNwDVC9izyF6QwCHOYw/9TtuJfTsHLhWRf3SyDnNwqXsCLOVfBchnO3npRS9LoCRqjqTqhpoPpaYohiTp3wd7GwHJAAGK2IDuHdPQTAsrRd9R3KKqOlLRsWW7aHrIMExf8i1X2YruufDRVVt/teYIqjmL6/OIMur3bCoS6DlhsTAOi+qYK4zjYk8zdcOybEWyJFe2IcTLs3wTYc31dMNBPsLY933FNRWX/Md1DAuiMG3LJXigYYJiYZydR4QV4uMwk6hKFmuVRlSyn4kVjf1iRmP2dxxFmVaFGb98mow7NBwXU3xSdHqziTbsO5qmvfrjMJBQiCSnF71q2MDj3gRC1IbQHTvJq2fBMJPA+8KKB4xY5Bkk+s+SL0OqO0ExUQPoArCLLKoniwcUYnu4tSKMmvA2Q1V1MTBSk3VZhqg5XcsCIyml92yyCzrCM3DkYJcT1qYYLIirFwfUDQMXqvCzHxEUpadnOHcSjcM+QBrHBkFr8Khluy4eUgiheEBc4J6bx6VfAv/BGrHUG0Znr4ivIrcApzE+O+pjKZi+dr9Cta0AIIamIynRkIMwrIjdo0dlms8dxQGiWShWKwIt7h8iQ/jn0ni5O1hRMkArHHIRwPyj6TEymYO4/OlZMmf5QSXIXX4TcXGxLlh2gywEnOb8j8NWNMQYSCIhfuoTns5/wqQ3GNxc5Ny/jpxJ0AM4IxrnBAs7gD9a88Mz5MY3h/Yk4uowJCn44ShnxLe0mMTiDdhKOO+l9EuEz0Ud16ZhrADCG1/0iaiZSUQE1PjphAAVvOpRVnHEZ3cHJ/FreApxvvA8TfIWrn6corkLwHNHtN6QQGRkPBYpfWRGs9BzirPzsV8u+tapoyvm3c3wDjYAGwPILCulUJmycrXZldoY95OrZxCel/y4wl5gJz8aAX5O/q4zpsZ+/vONWkKmYeDGBSj65OARekdcuaS34w3ZRzhq24PUDHR0NavEifGFOsS/siBlOrM4nvKIc3zU7wqyVigWC7V6ASEJ/vo8Gbsdeop5WyNacpFrQp2Rju2Fz1kw8JJtzgMkcHPKAFbwGDZCHJ4sDLOCJ5TYYHw4KpdL4/VtIxrMsYJX065+svJYgUm0Fi69bqEaCVpVjQRGIAxDVRWugscZHtNG6/U4KYWlBFLQDFll4aIpaF9fPp+Z6iVaBI0IKFPXtB1AIzofsjSDA63ESooOvEIzCQWNCl/iWkA8oI0zXZEFQOuy+fDsOMYioJpmIcW0tgfUsIgeblrmm+jGsxkaM5jrS+HFivVJu+bhvcDX6u3Q154W4DUsclrTTHUXeE1L15HOwVsPRxRYWn8i6BGhDr/yIL1ql8/GIqSe0XA1dz7PCb5jEUBlaQWk6mpITSQZsoJ4zC4Wz6i8uLhXOLWjwI04SH319vJCoIGb7kWnP7l6vJiDlJyW4SMKHJW2wyk5iJEV0SRIdUohvcm874DWUhyQQE8jOZj1vzzd2C88vHD0PVeMfjQPL/maZcjI2nrf0yM/spCs8jTAnHGF1EiVT6oD60zcWnfOa/W28tX9tgimDtnh1iq0SimYcXEoHtJExRSqhwrGzVxEsoj+n8RUvCRYPy8VT121+dcv57R5fZcU5rZ19+gJWG00JtfVtrHA9AmrQoplaNbWDAtGsAzdNCwO5tOQyGZ7sBqz7fq9P6sLUN4Pv13ZLxeni1AqqowkcAFtDaWqqQb5g4Oy5r8DYPh58CLsocbjt6AzuX+a5/tkeE1TZcPUd1h6QzYg22nl0ieIvQzbgUvXv1bNJYHOly/fpnyxrnvHLRmV87Ovs3nYDU1VEUvV3BK5ZATdNGWFlwFELfECgOq9DdaZqOrVtQjp0+BlGKEFzkq+Y5ka0o0dINV0hQgCJY+zroYzuDw7awjqiuM1RpfXw0FjEU7NgNT4rdUV8j8DqTJZmJXUwOMYaCFnJvwEwk7jVTgV+l+r3z6X2zfP8xOwTB1JqmJsj2gygi5JpsTrW2WIn6NBd1D8cSWyn26bw7IuwHpjGMF1tTvJgdUiKoi1Ctmrt55lQraygSQB2S/jd0A8LfmqK4BYfzDCUjNYyNG2TFOTNN3cXsKSCRIeqJur6QEQfEyxe8zwLEwig/3GmtqDmYDeb/3JdHbVrc6zXlknSjMo9atg30TsVl7sfgGJehZEWJY6NlUaeQyH96O2wH+/DdTRazgtzxMsQGnIkmygFVAqqzBMzqKSpmi6KvIwCM9loOXSQLd5IX+6FCAM0em5/Ho5z2VhfEPSZWVrTRtGsAxLlgQta2y70BzmfUjPyrOquOLh14vTr83ZvCwj30EI/rO1/kpf1kzyXw7SLwFeBV73q9EUxNW34YU8OG0uWKyY0UDZQQiQERRZNQ1ZW81cM4J8e9/sFtuXmEGzZQ+hfiNn5TpO7oC5HXE/4/p+R8tLGXYf7m86taehURtca879aejImnYvW8g7u546zYbvnVmjx6YKL/bw3TB86HpP9p01rHd7Ddztvtz2exe/1jV6r3l7XXfPbsZO+bTXkF9G9eZwajeuydkAdRvNm3qzj6J69fH+uvF4bt97w+ZtTbtqXk9u+y+dBqoOb+XeRb1r3TefqvWrckMh4z3ifrXqyL2rr1L48vB63sTN6v1ds/fFvhte3CJvcFX1RreD064zOJ01GgS25uPNZe/84mvjtOsOKnKzfN54aHodt3ylet3xZ6/5OLruVkvua++6fmfd1+Xh9d3Z+fCycV69U66gLOMrbqJn+8ya4IY19e5vnhwZ9e6Vxswp1fRavyN5n09ffw3M6cP96fNlH2mPzRv0IFclR6lNHmRrfKlkuLxUTqeucuO7SiNwmr1XV+5NHYJ8KP8olIZE1b595zWc3t06pSE/G92nT+qdVcRO+eWzZbRLZadj1y9uO89j6/Xq+fnla+3xs/049a4yepjwCc5JLjGhrVYcn9yKE7Qd4JtFcqPIDGdFiL8iJBw/PU2ieY8ub2tFNASP35iojllF3NQfFieRe6qveJJnFTVfwkXVcq2i4/tW0ZSwKUEmtE1DBOYH8UMozABVPVqxUT1Ooo9tdEs+ytVFzjXt5Xwmm5JyQmMtYovhkGx+ssOYx9ULXdoXpjW2R20aIxH4IzDP5j8+wuPJaPB+FU5mI/74jJ2PYhnVOEu6la1aVmYmKezbAs8Qe2IceuGcJ11wJEAt4yGZZ8hcFi3qveAdF/MPMJzP+TDmn5nQ0BE2RiH/QZp8QNaQelQIjgIWR7vKsxJbX4kEYkbK+QlvfHzNsLmeEZeyXfAAgstPlh3J0V1NIWdwWzV0qByPfVNXTU/GBnYMVcOGZEBjI5tGOLhUNMQiFAyThU+eFwyKQFnMh8vS/w1afsaj3i/wZ2XOZv4+1KUma7pwTzKOWQWGFvNOUBfYv7bz+bKYjNQ4nJWjE2OhURxEyT67ldubmafT0iRpL4SkvQX1PTBHJCthkElt3le84BJWyFfn6jZmlYH5+ivL+kwcSgwcSgwcSgwcSgwcSgwcSgwcSgwcSgwcSgwcSgwcSgwcSgwcSgwcSgwcSgwcSgwcSgwcSgwcSgwcSgwk+/lQYuBQYuBQYuBQYuBQYuBQYuBQYuBQYuBQYuBQYuDfHXOHEgOHEgOHEgP/eSUGxE6neZEs6lqRLKpsmRtEstwSmYWpXVyRClf2UzgqXGK7PcEQeo0dMCt/uLo8/bEwxnY/L5Yl4jQAPyXO+cAWeFKWkEU9bsiypMLQngEa6YXnII1OAVs2tt0O/V7hw4ALcvHB70bBKDxToD0y84LtjzFzONBhI2xH4eDHk0I97OMCgbzg24OIxbKAE9/BLiSG0xd6bKLUCtwj3LNHvYkj3M7M7LE7MPQL/XCAZ/HnwRdI4KfARnbPHgVxmM+MYBKGTINy2PP0Z0T4BPM29sNoHI/3HBAU0Okn19tkn9PBAsDipOcVhpNxPI4/CvuFqA+L0rdHXUjv/EDHJjt/QKYTRQWaFD7BPxZscLVCdrU3tQdju41zw3ycWYGwJczSMXnHJhmZTC4x+0Y/Uks0CyKvcYtEBgGcRRgXAl8ALQYZKGsRlKOVcUS3sPRUQNE1PVpwjVBD4QrnyIDajWHVgAAYIAR+SiAfmEMoNjK+F6ZTUzOvCP3q0fZ+ETLWntwifBQEGZXzirBpHW3tFSGj5ThF0lF3j88hH9iXa3tHfAr+PAcjk3eJaO+8rL3vEvlb7tnob3+pqUviWZg/NiP+JXT/aUPC/wDs7l2i54NWavoc0X/aher1fVH96akA4hzVV3cie/07kP1pSYB3b2S/G0L/MLLXebLnUEO5cj2Woos0v9oNLsQJEbJPpDERz4GX8Pz3wm1qe3N91/bm+eajbWqi45u6q3ag9Xy/dzLq7lE3tZVu781ofTd8/mG0bi4Jv6Eq8HejdRj9vfiaGpL2RuxkqD1Re/lUhJCP2qKO2B3InQyXF7qVDLsdvZdLIsB7I/gdcfqHUTySeJLnYpwoe/80xSOY8gLFx475FVRvs1cZtc/S6DJBqX8vuKmG5Izo40/uRPjy9whwgmH3yefJcPtn9JWSCPD+CH83nP5xhC/zhF+d4/XfkfCXcfuqQPjqfgl/b0fY6qkI5V45fu4hdkeOXy2JAO+P8P+kx1gknGPP5jj+FZ8FlhD91ad7geA9DPU8gwG727dfgv6kzyx/MdVn4fjL+PyZQO7cyZV8bCdS39u59exUhHCvPD734Lojjz8riQDvj9T/pEdXJJxdP8/x+KtgkEPqtetVpB4MVpD6Ms7+WSB17tBKPrYTqe/t1Pr5VIRwr1w999y6I1f/XBIB3h+p/0lPrvPh2/kBHlzs+Fax3DoXuZ9GmefEcud69ZiHa86rh7CrWb5jqK5sGp6ser7u2RL46B1JNhUPOYaHVMdUPRMbpmcojmEbSJIlx/A9F4OTYc6rt/OIoldv5O7i1dPQRvnpqacn89IInh6qX2ZZcylPOE53Vt5TNPSvEDur6KCw1MfJlWiIXZq4zx58x8nzxZ7FlW/mcuoJWggE0ZhlHA0nI5csCK0WWuiEfXxSaILHizrOqMOqT9DQ6c3AIQcDQoZ24NOspbHdxYVwAt6nHwgmjwnhkadH4zao1aBPK1Jhhu1RVPig6BIbKKKeM/VE1v4rheR/c3gxP5USb1P5crWLj6i0P5sK71ooiTaVEp83Q8PKN+HEpXyLSmnDrBny3XwXkYDOj0jeG6w0TJYJYJrqT7YEHX1roMvLMaxvQARr4lffnhQqywE19w+ouT2gVRHQfaVPrbGtoonrYky5bpzvsH5Clf9k6m1RQBN9zw4gUPro50nvl597wS83Ql5yL7Rh1/u0cnPMAeD6b0e3wFgR1OqzfzuKea7NIigguIDW787KgSQc5OTnj+Qb8J2fHfKpPqaOQFA8M6JP+BlH/YUPC3aHhJ8KT1P///wHnV/YRz+SGb63yOvoJDmxvn/7S0m0LHJM7RJQ+KkvukrXliIPcU637RNcekRAyEQ62Gz2gG87ExWxZDkpfA6fC/0JkajwIkiYJAiEDUpeiyZ99pFYtIiShS76WuKFd8dWBfHS2EG6VPcnXXhnbFVkKdUdeF81n6VUt+d9vBd2HtCdxOAyUHcRg6flJcu+oxisfk8xeFpZjuEdpMsy/G4vXU6rIqD7ki5rbKvvLl2+9LAdCXVp3hcy8kHIxEKmKgoZjmVch4Shk4dvWG2fbaRMx54SRGA8KHybhPDo3IklAmfuD5YmxaIkER2J/Dlh5fHCUdCmoDApEluLosIPUImVHG3ig1EQ5SwDyCp6YgKBFQduwjB5ooePjCjJnOMMEpM3YkILhxt5Nx+PwHX4AAkBzL/veGKQObeZPRhMIBEw45a7QFwSIea1cLSLGi7nOvrYmFtGn5RXgGp9B1Ct7UGtLAeVZmfvGVQ65pagVkVQ93a62XFfbS5tEis3sASOWW96ylEKfy2oexNCZPnGwbDHqtdAwPcEmO0gZuDrySW24efEUiaFvt8pR5aXhAxVfB/Tvl5zIohn9jh9JoafzjEuI0nXgAqAcASlwJ8DcsCBdaArkCcByoIEUDLWyopP7GLeIqPtW1PKDSKCDwmcQN6FEyj5nGBDpRnlhw8JGEYbwDkY4tEs3SlpgMDvjPSyOJN9OVD2D7S8o8UmYSSpQpVyDi9ha8MRngbhJKJ76+T3MI7IypKwq+oEigkXGoDU9/TWyJ6Czsq0T+i9WXjuYMYzwBExicuijjsjjJnBPDOfRKDc/mBozNMQs5wB9JVQ9NjuQVN8aIaKfGJwdg9QRBMLPp5x1hUuNWaW6M/JyYDBSsZkTT/hevahVFbAJPI4Gx8UVuWVxupOZpX35e/2G4yPEKuK+k11F62xmq/fVHfQGvnYsAVQea1xc/vFMmA31BsFfbxSXkIMmxpb8uhhQ2vLhvQhzqOyHO27aMDLkL6DBlypiqDuzQLzHXbgd7Xva1tqvd/XCiIvi2VEWpGaJLZ32j4kFgjOKZsa2MH+oSCJOmiJSp5Y1QElzK5OBAhcVE848bGpIxhpsbM3/kLo+yvtIHwcZUnR9+bhVfYWWMbHUMKwvMKr7KLwKrlRZWzMLUEtLUHmrrxWgHXflu1qeQWClY3gXhfFG4YyieBWVoCrfgd6ULenh6oI6t5MIe/vrn8vQaAXzX9HUUDwuCS6V5GWiILNuHEaepPDjZdaK/T/LXzYxtGxBZKjkx9zZAIfbFzen0wo708m8MHGZZEHlHdjWeV8LrBx9KXAsvhQ4/I+5UL5e8qFs/IKJO8geJeieHvBe1ZZAeoOMmEpqNvLhLOqCOq+ZMIau+sgE9aQCWVlWRh8LAtYb6JREIVcQPwyqw41HMUSYUEAQL5Hoq5D2SRse3BISIRGnrrOB8eXVTHGTdnBTgJj5So/29tJ+Cj5OVDL3wHU8i6glkRQV+xJZaM9qe4WiaTsuANZLnWimzBnelovn1IMPXQS1C0m5iWV1Fz8u+w6VZorqE6fwtx8t4vBR5xtaOMYfBaPPheDr8i2rBmShXVVQbqLDeTYMrYwMpDtG74tu5KjY6RrhuxrnqebmulohuK6qiuZtgRUOheDv/OIb7TV3ZTQgu0EvWBMK3NPA9qxLa16zTA2wWx+0OtZZe3O3V4Yscc86PcYFx6Gso5pAW6CLzxyaRh+EdFqeuk9mbb+y27L4m1VkYXbinhbM3ThtireNmRJuK2JtxGUF5NE4CSgoqEdRUS19iJWO3gy6IVuN/4RF1BuUQvLAOp7xsKQlriDem3xFSAJuxcMWV3PpO3fT3F2Qytrtxs3BnTssds54vgDFIMiKwAdOKByHrneH3IFABXZNAjbmfRb0Tgc0fm80bdHlAq3GZdWwzMVaAC9MG5aOzFOrEiyL9ivpd0G1wKDvN0KvBdKRDkgqYqlyYsgicXg9vIhVTVycCrmp+zlQwTP2vyHaEFY3MNUe4HvtJjuQ0Yee9DuuDUKw3FS7U8ePN98Uh8bUEhQ+Mk1kuSfSRJ2ZFlTNdvVENZ9xTNUx0SW6imuZbiO6iiW7uqeYRuMzeBkfeOOudCpshjhrNlox4ZFJ5Ps4Snu0b+i8Yx77yXC32Bj0XKGHnuWqD90u7FHIjJllzHk8QsrEQmPA7y26wIftlUHyxiZZLcqtuWrtqNa0JtUVrCiur7sqo4u0ZqD8BLZq+Ql18OmZemKr8lYli1JkbCObKRpumt4LryimrasQsgsNIkJ+8ErTrey2yMMIG4SSpON3ni5+6+MYcTbghMz2RXaSjipws72B387kegrx4jVw/Q3NIWFBzrkpEYrPC9kSiHK8cIoZt70p+09TaIxNUT8tJBIBZD0Y5JbmlilQ+f69iicQEfuS6KyEHVcXtGENhgE44DGhHHDKKqpKazC5yiVE0c/D3+pjf86ir5Nwv8BXee5ADRAO5bRzt9MhR+OwvYIfsWHALpCJ38dONHwf37+OPzlt9FvA/iXjPYpbRjOCut5OAraRHDDkB3cGzKXrT1p41VDF+4GvaAL3mrWZh0eIxjtR8fw0CxtkgQuVug1Chld5MRMtPBh0ZkV4f8L/EwLDp6FcWlDlhWWdW+OYHA4fKc+cvoENJXGJ4XKFI9m405ce7AwwGwqXYoqrgFplsUWt+D0ib6Wjgjdl5lPmFyDb4VR7D4gGuaELFeB/ACvxCggf8CFKG2xSogQ5NpJ4SwMvUJv4nbpKNTlTM5Wf4EFoMTZDxjjyoqTxsyBiM9wwqjPnozDmJ6p2gQNlMk9Mg3cgg7ABNeslzQjTrjNOiJ7tNBpfJU1it/q3ZBA0Mn6YnfxLL3DhqKC/g3YFISSJt0NyJ4fUkWdtsygi+oQpHZTpoHhqOriTPoLWxKYTAAbEFkyMonaIWmmAQI85T6tlK8mIya9oFPNI9EYkoYptMAsdENGcXXbydCD+Cdu5xoKld7kMaqoUkUEunPSWR31aQGCZLi3dGZM/LQIxyYYatFeCayb+jSyiQykOZvcb1jyAWtBEIse7ibjYq2ku9D/qdJ/yGWHDZ/e0GW9rIPRCJgTMJuBt3DzLVPxs31eqDOoCyAkE3GiCBq5aqmWZWi6DCWHOc78D1FdmVMq5kT/P/Nkhd1rE9yOO/2A4mFKjvagBAAGgUGL3C4RJgxIbsWBqGIMxr3k28j3NN+QNMeTTUIu6AXsWwkPZhjG7Zczg7VQn4winFzP2qcD75pShT5Zk+DsbnCXvkEUENAJhHbsfUJIrPZ1PKR+Ph27t49t/6E0fzt7n9YkJjNoMe0WNGgmY8hBIFGQqDbO+k2RHcmXYIbe1fS0mqqvnDqqqYL6OSeVoll/2AkHs5QRjMMu7feOZ+cd58wNfg3Oa3evNXQdnFsncPFBuRl6/Z6Em71u7SkM6re9vnfn3Tz2e58bTa1RC56DB9lC7uC6Zze/wgDnvzYf0Y2kPT8oD692JQwuS+fIlRuz7H5banavh95gOLpruoH/9eTm/NMXb/RNv5fv7LY9VMzpxdnE7+qfTiPrqvZr8+Lp6osTFG8qdZCYC9OgfOyoMx4Po58+frSHw5P+DM5XNtEXoXv8x+SNj0TaE1JKWe5RtkXWbhtPm5An22mRWFgZa9amnNbFdl+vOuUxeqbaL21dz92FGtal2eQxLYC9rP411NteVm4b7mVXkxL2gk41f9CIWY+wnRdYgIUMQxHbp6uEMUiagUyZb5++dFvHSpLbCQPKmkVGCYIjzTkHCw0YQgKXMO4ZOyMnjaaOaFsYeCDtES9tpv5/nTXGTS1V/+OfovqfPhOr/xpBgSvLpuSZukOUYOxoGMm2KSPFVVUXG7Jqq0heov7HjgeyMvtR/Zfo+xbCpq9oWFcNz4Ey4Yoh+xbWJOTIuumYqqQrCCWHGqbvW7Zkmb6GHMcxDGw4PpmajBXL1DERtZZu64pkIo0yyxztnkgocpq3e4Sv0bPdEa9aE5ZElNnsdJCu/JtojnuLdSDOmHQktOWjB0Yiuf7+02+DAvnHC4PxTwWAgf2mehm7wB0HZEmQO0Sc4Dxp4SNHRxaWbFsFaQEUk5zaxmTGID2+OTEEcwI6lkPxHOK3MC7SF2EzDnuhDZ+5Jd+GR5IYzmQhhxOH4LPD2QNGbieY8vYBoizb6daFEzSwt6/xfj46nhOcOcd7YXvH4jlve4NSlbu9NelPtb1vlC/u5Sw73bOfc6f75Jk/0fY2dBf7mGwJ7JoOOYsj3XA1EzmmZ5vIk2THU8jGRVjY3jLRlhVTMnTNIs8Zmow0LDsyOeHLpmUg21B8w7Nsa83tfR0O8J63eFytZbstrq6/xRVZchxX/g/b4uwQMbfFKeB5W9yylmxxXflzbXFDtweZBI9/zm3x5Jk/0RbHlk+ktKUoquepuuf6jm5ZrmO5lmu6HjKxpFuujV1hi3tE5Fs6IjscmQq2VcvxyVR8rJq2oZN97gHfcHzvD5LgzBH03be3amuGCjrLn357vy19p86fVXr9KDsDmN3x8z2uP32lzJQfcN7g8LbOkWXZwYNu75f0rey8vOqgs/lppU3wN0h6El0H3WAM6qdv94PeLLl8Zvd6uB3CGkEreEDPgD7Zjm/8vzZchhMfnOfJEbg/HHMu/bmeQYITkjbDUpHO6T3C+Zq2hLNUQ144XzMHEwK65Y3ByWU0Z9w6+A737zv8k/gbTOtE29Hh8MYMP6vMCDHiImatTc2j8UVoZT4GMyHD3VuGi4NZ4GAWOJgF/qPMAmRdM5+M3cbUyw4xYHmehyjxwX/L4wLfkruw+5JxCIdZaKhX5F8sEhkmW5qpGJquwvrl9d/7TtbUTHFa+OIKPWrPRtgl2hMNEhmCcX8hKCSvpKe8VklP1pxw7ZKeSaZVHEUGIol5OUfkK+BB9YiiMoNiwjivTV/a1m2+M59d8PFz6g8luy6yY7duGmTK3MCzk8I1142PVvyEj5HvvCTlaMD0zo2RNPVLPMp+QBQ/8Nvm9qLjPb7jBP53qojWKQS3fLHxUhj7pWBq8xGS2mI438IkYqymk9AM86RwSh6EhGpw3mclUQnCxUQE/r2soDNLTdEYeoRPjuLc6jjnvRCFQhe+xN89woRevTQpbgT69ICWaOUW7L1edmTy+8rOJ0PtVt04t0opGVWo2bA+dDnrnBMIu4j67cEuCWCnaQs/cDBvGr3LwRyPV4BCTw51agsZL2G8P7aZBF9ts7wU99r3wP3i5tgU/1zQ70CWfb4otvHOy8b7AbiJB/EvZW1JycmU3RD+Bb0wea4znPGMlga00E0r4OU5p9FHPgPaaJufCtv8pzIyMoYPzJdISYji2Zg4aeQQ6x0YD5uwcsaRNiW9FeuH1qdbbu/dciRF+yeuJwcqOXJAaK/1e8qAuWcInTApQJk/xbMoE5ZAvjnV8JXeKvsTDpW9CQe+xltlbwyqksug6Ii7N78TwSzvHczyxmCu2HP6Oy/rG/DMirakgNXCFt2Cd1aW8c5tSb8skP5PlfcZ5nqrxzHMeNhdGObKxZPXJ1AuB/AMztXzrHK9/oNt+mqGcej1vHBoSFcMme91ZaugvfXdrOyvhQlfb6citjBhK7rDjs5vYZIOu3tHtsrqFiYbpU3ujtMVxKu+87K6CeeZ71mS3JmzKG2RIsUVWEoxn5MiBeahkFBI1GIhgCyQlYV3SqiiWkD1XB5JMjb5M4WV/E14O5lkSft76Qc4+1Tin/9NeX4Fnj/6v2SffGAE8yO1WicOPBhqMX0MLpeQBC9+ubr9UDI+Ivm4ZB6X9ONjyG+HGnbkHpRx/FAiMyshi/xr/shqqJZkBe6yqn/kvnwMze6OoWBDOqKi0CEVlfwrs0HL2e0yu10mt8vpbZXCU1bMIkuirMYANj5UKXxV87gaw1dl8FXJLWTRewTIKjKPj6Vs+hCeQOaZ36kG3GsqxSM0sv4Qd8AGE7KeXv3EX86wTJto0WsMQLjI2g2xixS0uKme8LTK3+DfoJ+8+nQvPE0/eFW7Tp+ktkBGjTSMN6PEzFubzBvcC5N+3x5R5xQYSlpJyDOiNtQ2bmGPxq6ramxJaUUdIkvpiYiJuRZNekxdWq3UE2TRvHuwGGXXCIUk7gkvGRquwZ8tBxOeh1upyR/p8w+3qJUv3jX0azA8+Ida0yDsJQbT2PDcx/YAQonDgReRwcfPmLwgzErW35gxr5XYKnl7HuFogZfaVPm9hl+GhKOlt1IggwEtFjCxe8kX/nHE9l+yCcHfMcKQAZK+naCBxs9/mwBXT/dzgot4P8Oj6W6mPwD+AfwF3AVcaeuAQF5ast03mRiwBrb/GCtgW55tO7bN2W5mm3bFxHVx4ozlZDNnbCaeOuMqyQ/KK+IfZeEHZRPxD8Yikh/ZaGvhbtNZkkGX8pJNsFtTGZuhTIVxEcY2GI9gDIFxgBWoNUXUnqkZIihjy7BMORr30+Se5PHHOFf6gx8Q6fyPzUiUTvdskzm/JVt3mZFeZE9EiRwSNQSciC3mRUtt6bKkGbwPobXouKCeWOqeWOYuSNDc6jNHEyelqXwFMKh9BZ4FCzqvapCpyNxDlWUPqfxDlKkvPiWKdf7bjJTTN3I4AHkXcS9U13mBB5xtkHdeUIQXlPdf4GddXecLGv8FujffeUHnV2idFwz+BfVdLIm6Br8mlO6Td/MZx9yi1PR13uBXpWau8wa/LDVh4Ze+ogqvyOu8ogmvrDV5XXhlrdkbwitrTB9WiOoT47CNybF0FHtdmRaVLF4x3ljFTKlaqjzAaJBXSDkPGzrlOjS+yFB0Ivg62B6NHWzHBhXIioL6DGxITUK+o8teUVNNpaia2C/amq0Vsesari/Lmu5AYG+qA8XnuFPyN11AmvqWfiENVZKQYSGiz4Uw0VSDiuOLhDkjpL03R2FauoRM3VLFaWnv8OkUfDZnRTKwo5tFV6ZzRnLRchy1qDqebSDNhxaKR+8y40VefuecqReW++V2CcKspfgyVNPSdJl7LT0GwxVQR2kE1G6Y02TJkJCIOeU/AXNIy8NcFlcHojVV3pPzh8QCgcDGMW7FOGA3ANUL2LPIXpDAIc5jD/1O24l9OwcuFZF/dLIOc3CpewIs5V8FyGc7eelFL0ugJGqOpOqGmg+lpiiGJOnfB3sbAckAAYrYgO4d09BMCytF31Hcoqo6UtGxZbtoesgwTF/yLVfZiu658NFVW3+15giqOYvr84gy6vdsKhLoOWGxMA6L6pgrjONiTzN1w7JsRbIkV7YhxMuzfBNhzfV0w0E+wtj3fcU1FZf8x3UMC6IwbcsleKBhgmJhnJ1HhBXi4zCTqEoWa5VGVLKfiRWN/WJGY/Z3HEWZVoUZv3yajDs0HBdTfFJ0erOJNuw7mqa9+uMwkFCIJKcXvWrYwOPeBELUhtAdO8mrZ8Ewk8D7wooHjFjkGST6z5IvQ6o7QTFRA+gCsIssqieLBxRie7i1Ioya8DZDVXUxMFKTdVmGqDldywIjKaX3bLILOsIzcORglxPWphgsiKsXB9QNAxeq8LMfERSlp2c4dxKNwz5AGscGQWvwqGW7Lh5SCKF4QFzgnpvHpV8C/8EasdQbRmeviK8itwCnMT476mMpmL52v0K1rQAghqYjKdGQgzCsiN2jR2Wazx3FAaJZKFYrAi3uHyJD+OfSeLk7WFEyQCscchHA/KPpMTKZg7j86VkyZ/lBJchdfhNxcbEuWHaDLASc5vyPw1Y0xBhIIiF+6hOezn/CpDcY3Fzk3L+OnEnQAzgjGucECzuAP1rzwzPkxjeH9iTi6jAkKfjhKGfEt7SYxOIN2Eo476X0S4TPRR3XpmGsAMIbX/SJqJlJRATU+OmEABW86lFWccRndwcn8Wt4CnG+8DxN8haufpyiuQvAc0e03pBAZGQ8Fil9ZEaz0HOKs/OxXy761qmjK+bdzfAONgAbA8gsK6VQmbJytdmV2hj3k6tnEJ6X/LjCXmAnPxoBfk7+rjOmxn7+841aQqZh4MYFKPrk4BF6R1y5pLfjDdlHOGrbg9QMdHQ1q8SJ8YU6xL+yIGU6szie8ohzfNTvCrJWKBYLtXoBIQn++jwZux16inlbI1pykWtCnZGO7YXPWTDwkm3OAyRwc8oAVvAYNkIcniwMs4InlNhgfDgql0vj9W0jGsyxglfTrn6y8liBSbQWLr1uoRoJWlWNBEYgDENVFa6Cxxke00br9TgphaUEUtAMWWXhoiloX18+n5nqJVoEjQgoU9e0HUAjOh+yNIMDrcRKig68QjMJBY0KX+JaQDygjTNdkQVA67L58Ow4xiKgmmYhxbS2B9SwiB5uWuab6MazGRozmOtL4cWK9Um75uG9wNfq7dDXnhbgNSxyWtNMdRd4TUvXkc7BWw9HFFhafyLoEaEOv/IgvWqXz8YipJ7RcDV3Ps8JvmMRQGVpBaTqakhNJBmygnjMLhbPqLy4uFc4taPAjThIffX28kKggZvuRac/uXq8mIOUnJbhIwoclbbDKTmIkRXRJEh1SiG9ybzvgNZSHJBATyM5mPW/PN3YLzy8cPQ9V4x+NA8v+ZplyMjaet/TIz+ykKzyNMCccYXUSJVPqgPrTNxad85r9bby1f22CKYO2eHWKrRKKZhxcSge0kTFFKqHCsbNXESyiP6fxFS8JFg/LxVPXbX51y/ntHl9lxTmtnX36AlYbTQm19W2scD0CatCimVo1tYMC0awDN00LA7m05DIZnuwGrPt+r0/qwtQ3g+/XdkvF6eLUCqqjCRwAW0NpaqpBvmDg7LmvwNg+HnwIuyhxuO3oDO5f5rn+2R4TVNlw9R3WHpDNiDbaeXSJ4i9DNuBS9e/Vs0lgc6XL9+mfLGue8ctGZXzs6+zedgNTVURS9XcErlkBN00ZYWXAUQt8QKA6r0N1pmo6tW1COnT4GUYoQXOSr5jmRrSjR0g1XSFCAIlj7OuhjO4PDtrCOqK4zVGl9fDQWMRTs2A1Pit1RXyPwOpMlmYldTA4xhoIWcm/ATCTuNVOBX6X6vfPpfbN8/zE7BMHUmqYmyPaDKCLkmmxOtbZYifo0F3UPxxJbKfbpvDsi7AemMYwXW1O8mB1SIqiLUK2au3nmVCtrKBJAHZL+N3QDwt+aorgFh/MMJSM1jI0bZMU5M03dxewpIJEh6om6vpARB8TLF7zPAsTCKD/caa2oOZgN5v/cl0dtWtzrNeWSdKMyj1q2DfROxWXux+AYl6FkRYljo2VRp5DIf3o7bAf78N1NFrOC3PEyxAaciSbKAVUCqrMEzOopKmaLoq8jAIz2Wg5dJAt3khf7oUIAzR6bn8ejnPZWF8Q9JlZWtNG0awDEuWBC1rbLvQHOZ9SM/Ks6q44uHXi9Ovzdm8LCPfQQj+s7X+Sl/WTPJfDtIvAV4FXver0RTE1bfhhTw4bS5YrJjRQNlBCJARFFk1DVlbzVwzgnx73+wW25eYQbNlD6F+I2flOk7ugLkdcT/j+n5Hy0sZdh/ubzq1p6FRG1xrzv1p6Miadi9byDu7njrNhu+dWaPHpgov9vDdMHzoek/2nTWsd3sN3O2+3PZ7F7/WNXqveXtdd89uxk75tNeQX0b15nBqN67J2QB1G82berOPonr18f668Xhu33vD5m1Nu2peT277L50Gqg5v5d5FvWvdN5+q9atyQyHjPeJ+terIvauvUvjy8HrexM3q/V2z98W+G17cIm9wVfVGt4PTrjM4nTUaBLbm481l7/zia+O06w4qcrN83nhoeh23fKV63fFnr/k4uu5WS+5r77p+Z93X5eH13dn58LJxXr1TrqAs4ytuomf7zJrghjX17m+eHBn17pXGzCnV9Fq/I3mfT19/Dczpw/3p82UfaY/NG/QgVyVHqU0eZGt8qWS4vFROp65y47tKI3CavVdX7k0dgnwo/yiUhkTVvn3nNZze3TqlIT8b3adP6p1VxE755bNltEtlp2PXL247z2Pr9er5+eVr7fGz/Tj1rjJ6mPAJzkkuMaGtVhyf3IoTtB3gm0Vyo8gMZ0WIvyIkHD89TaJ5jy5va0U0BI/fmKiOWUXc1B8WJ5F7qq94kmcVNV/CRdVyraLj+1bRlLApQSa0TUME5gfxQyjMAFU9WrFRPU6ij210Sz7K1UXONe3lfCabknJCYy1ii+GQbH6yw5jH1Qtd2hemNbZHbRojEfgjMM/mPz7C48lo8H4VTmYj/viMnY9iGdU4S7qVrVpWZiYp7NsCzxB7Yhx64ZwnXXAkQC3jIZlnyFwWLeq94B0X8w8wnM/5MOafmdDQETZGIf9BmnxA1pB6VAiOAhZHu8qzEltfiQRiRsr5CW98fM2wuZ4Rl7Jd8ACCy0+WHcnRXU0hZ3BbNXSoHI99U1dNT8YGdgxVw4ZkQGMjG1ph/H9edASAg4gIAA==</properties>
</file>

<file path=customXml/itemProps1.xml><?xml version="1.0" encoding="utf-8"?>
<ds:datastoreItem xmlns:ds="http://schemas.openxmlformats.org/officeDocument/2006/customXml" ds:itemID="{51379DD8-08C3-9C47-B71A-84CF4C8F8662}">
  <ds:schemaRefs>
    <ds:schemaRef ds:uri="http://schemas.myeducator.com/properties/myeducator/atlas_meta_I9WxgiKsdzrc"/>
  </ds:schemaRefs>
</ds:datastoreItem>
</file>

<file path=customXml/itemProps2.xml><?xml version="1.0" encoding="utf-8"?>
<ds:datastoreItem xmlns:ds="http://schemas.openxmlformats.org/officeDocument/2006/customXml" ds:itemID="{EDEB2C57-C2E8-2043-A3AB-C06F6C27AC82}">
  <ds:schemaRefs>
    <ds:schemaRef ds:uri="http://schemas.myeducator.com/properties/myeducator/atlas_meta_I9WxgiKsdznC"/>
  </ds:schemaRefs>
</ds:datastoreItem>
</file>

<file path=customXml/itemProps3.xml><?xml version="1.0" encoding="utf-8"?>
<ds:datastoreItem xmlns:ds="http://schemas.openxmlformats.org/officeDocument/2006/customXml" ds:itemID="{9F848189-DC35-EA4B-BF13-B477523F129B}">
  <ds:schemaRefs>
    <ds:schemaRef ds:uri="http://schemas.myeducator.com/properties/myeducator/atlas_meta_I9WxgiKsTFHz"/>
  </ds:schemaRefs>
</ds:datastoreItem>
</file>

<file path=customXml/itemProps4.xml><?xml version="1.0" encoding="utf-8"?>
<ds:datastoreItem xmlns:ds="http://schemas.openxmlformats.org/officeDocument/2006/customXml" ds:itemID="{58965D77-38E2-F945-A425-DF2BE41279C8}">
  <ds:schemaRefs>
    <ds:schemaRef ds:uri="http://schemas.myeducator.com/properties/myeducator/atlas_meta"/>
  </ds:schemaRefs>
</ds:datastoreItem>
</file>

<file path=customXml/itemProps5.xml><?xml version="1.0" encoding="utf-8"?>
<ds:datastoreItem xmlns:ds="http://schemas.openxmlformats.org/officeDocument/2006/customXml" ds:itemID="{6F568985-CD94-B449-BBBD-621AE4920C5C}">
  <ds:schemaRefs>
    <ds:schemaRef ds:uri="http://schemas.myeducator.com/symphony/msoffice/properties/officeprops"/>
  </ds:schemaRefs>
</ds:datastoreItem>
</file>

<file path=customXml/itemProps6.xml><?xml version="1.0" encoding="utf-8"?>
<ds:datastoreItem xmlns:ds="http://schemas.openxmlformats.org/officeDocument/2006/customXml" ds:itemID="{E02AE1EB-951F-354A-AF59-FAFA7FCC013E}">
  <ds:schemaRefs>
    <ds:schemaRef ds:uri="http://schemas.myeducator.com/symphony/msoffice/properties/submission"/>
  </ds:schemaRefs>
</ds:datastoreItem>
</file>

<file path=customXml/itemProps7.xml><?xml version="1.0" encoding="utf-8"?>
<ds:datastoreItem xmlns:ds="http://schemas.openxmlformats.org/officeDocument/2006/customXml" ds:itemID="{ABCEEA8B-E462-6C4A-94E6-E964AFA85F32}">
  <ds:schemaRefs>
    <ds:schemaRef ds:uri="http://schemas.myeducator.com/properties/myeducator/atlas_integrity"/>
  </ds:schemaRefs>
</ds:datastoreItem>
</file>

<file path=customXml/itemProps8.xml><?xml version="1.0" encoding="utf-8"?>
<ds:datastoreItem xmlns:ds="http://schemas.openxmlformats.org/officeDocument/2006/customXml" ds:itemID="{57260CC6-20EA-7C4E-8184-F881C9E24A59}">
  <ds:schemaRefs>
    <ds:schemaRef ds:uri="http://schemas.myeducator.com/properties/myeducator/atlas_log_comm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Statistical Functions</vt:lpstr>
      <vt:lpstr>Financial Functions</vt:lpstr>
      <vt:lpstr>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Gallegos</dc:creator>
  <cp:lastModifiedBy>Nikita Gallegos</cp:lastModifiedBy>
  <dcterms:created xsi:type="dcterms:W3CDTF">2025-06-30T23:51:43Z</dcterms:created>
  <dcterms:modified xsi:type="dcterms:W3CDTF">2025-07-22T22:40:25Z</dcterms:modified>
</cp:coreProperties>
</file>